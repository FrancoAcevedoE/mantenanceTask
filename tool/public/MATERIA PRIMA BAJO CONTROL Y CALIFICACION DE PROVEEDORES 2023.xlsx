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6D062D40-0469-4A1D-8115-CF779B3B8E3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Hoja1!$A$1:$L$73</definedName>
    <definedName name="_xlnm.Print_Area" localSheetId="1">Hoja2!$A$2:$E$40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7" i="1" l="1"/>
  <c r="J65" i="1" l="1"/>
  <c r="J64" i="1"/>
  <c r="J63" i="1"/>
  <c r="J61" i="1"/>
  <c r="J57" i="1"/>
  <c r="J55" i="1"/>
  <c r="J54" i="1"/>
  <c r="J49" i="1"/>
  <c r="J46" i="1"/>
  <c r="J45" i="1"/>
  <c r="J44" i="1"/>
  <c r="J42" i="1"/>
  <c r="J41" i="1"/>
  <c r="J39" i="1"/>
  <c r="J38" i="1"/>
  <c r="L64" i="1" l="1"/>
  <c r="L65" i="1"/>
  <c r="J66" i="1"/>
  <c r="L66" i="1" s="1"/>
  <c r="M66" i="1"/>
  <c r="J60" i="1"/>
  <c r="J47" i="1"/>
  <c r="J70" i="1"/>
  <c r="J69" i="1"/>
  <c r="J36" i="1"/>
  <c r="J34" i="1"/>
  <c r="K34" i="1" s="1"/>
  <c r="M34" i="1" s="1"/>
  <c r="J33" i="1"/>
  <c r="J31" i="1"/>
  <c r="J30" i="1"/>
  <c r="J28" i="1"/>
  <c r="J26" i="1"/>
  <c r="J25" i="1"/>
  <c r="J23" i="1"/>
  <c r="K23" i="1" s="1"/>
  <c r="J22" i="1"/>
  <c r="K22" i="1" s="1"/>
  <c r="M22" i="1" s="1"/>
  <c r="J19" i="1"/>
  <c r="L19" i="1" s="1"/>
  <c r="J20" i="1"/>
  <c r="K20" i="1" s="1"/>
  <c r="M20" i="1" s="1"/>
  <c r="J18" i="1"/>
  <c r="K18" i="1" s="1"/>
  <c r="M18" i="1" s="1"/>
  <c r="J16" i="1"/>
  <c r="L16" i="1" s="1"/>
  <c r="J10" i="1"/>
  <c r="J12" i="1"/>
  <c r="K12" i="1" s="1"/>
  <c r="M12" i="1" s="1"/>
  <c r="K19" i="1" l="1"/>
  <c r="M19" i="1" s="1"/>
  <c r="M23" i="1"/>
  <c r="K16" i="1"/>
  <c r="M16" i="1" s="1"/>
  <c r="L22" i="1"/>
  <c r="L12" i="1"/>
  <c r="K10" i="1" l="1"/>
  <c r="M10" i="1" s="1"/>
  <c r="J9" i="1"/>
  <c r="K9" i="1" s="1"/>
  <c r="M9" i="1" s="1"/>
  <c r="J13" i="1"/>
  <c r="L13" i="1" s="1"/>
  <c r="J14" i="1"/>
  <c r="L14" i="1" l="1"/>
  <c r="K14" i="1"/>
  <c r="M14" i="1" s="1"/>
  <c r="L9" i="1"/>
  <c r="L10" i="1"/>
  <c r="K13" i="1"/>
  <c r="M13" i="1" s="1"/>
  <c r="L46" i="1" l="1"/>
  <c r="K46" i="1"/>
  <c r="M46" i="1" s="1"/>
  <c r="L34" i="1"/>
  <c r="L33" i="1" l="1"/>
  <c r="K33" i="1"/>
  <c r="M33" i="1" s="1"/>
  <c r="L47" i="1" l="1"/>
  <c r="K47" i="1"/>
  <c r="M47" i="1" s="1"/>
  <c r="L30" i="1" l="1"/>
  <c r="K30" i="1"/>
  <c r="M30" i="1" s="1"/>
  <c r="L60" i="1" l="1"/>
  <c r="K60" i="1"/>
  <c r="M60" i="1" s="1"/>
  <c r="L69" i="1" l="1"/>
  <c r="K69" i="1"/>
  <c r="M69" i="1" s="1"/>
  <c r="J51" i="1"/>
  <c r="J52" i="1"/>
  <c r="J58" i="1"/>
  <c r="J72" i="1"/>
  <c r="J73" i="1"/>
  <c r="L23" i="1"/>
  <c r="L20" i="1"/>
  <c r="L18" i="1"/>
  <c r="L73" i="1" l="1"/>
  <c r="K73" i="1"/>
  <c r="M73" i="1" s="1"/>
  <c r="L70" i="1"/>
  <c r="K70" i="1"/>
  <c r="M70" i="1" s="1"/>
  <c r="L72" i="1"/>
  <c r="K72" i="1"/>
  <c r="M72" i="1" s="1"/>
  <c r="L67" i="1"/>
  <c r="K67" i="1"/>
  <c r="M67" i="1" s="1"/>
  <c r="L63" i="1"/>
  <c r="K63" i="1"/>
  <c r="M63" i="1" s="1"/>
  <c r="L26" i="1"/>
  <c r="K26" i="1"/>
  <c r="M26" i="1" s="1"/>
  <c r="L49" i="1"/>
  <c r="K49" i="1"/>
  <c r="M49" i="1" s="1"/>
  <c r="L58" i="1"/>
  <c r="K58" i="1"/>
  <c r="M58" i="1" s="1"/>
  <c r="L45" i="1"/>
  <c r="K45" i="1"/>
  <c r="M45" i="1" s="1"/>
  <c r="L28" i="1"/>
  <c r="K28" i="1"/>
  <c r="M28" i="1" s="1"/>
  <c r="L25" i="1"/>
  <c r="K25" i="1"/>
  <c r="M25" i="1" s="1"/>
  <c r="L57" i="1"/>
  <c r="K57" i="1"/>
  <c r="M57" i="1" s="1"/>
  <c r="L44" i="1"/>
  <c r="K44" i="1"/>
  <c r="M44" i="1" s="1"/>
  <c r="L55" i="1"/>
  <c r="K55" i="1"/>
  <c r="M55" i="1" s="1"/>
  <c r="L42" i="1"/>
  <c r="K42" i="1"/>
  <c r="M42" i="1" s="1"/>
  <c r="L38" i="1"/>
  <c r="K38" i="1"/>
  <c r="M38" i="1" s="1"/>
  <c r="L54" i="1"/>
  <c r="K54" i="1"/>
  <c r="M54" i="1" s="1"/>
  <c r="L41" i="1"/>
  <c r="K41" i="1"/>
  <c r="M41" i="1" s="1"/>
  <c r="L52" i="1"/>
  <c r="K52" i="1"/>
  <c r="M52" i="1" s="1"/>
  <c r="L61" i="1"/>
  <c r="K61" i="1"/>
  <c r="M61" i="1" s="1"/>
  <c r="L36" i="1"/>
  <c r="K36" i="1"/>
  <c r="M36" i="1" s="1"/>
  <c r="L31" i="1"/>
  <c r="K31" i="1"/>
  <c r="M31" i="1" s="1"/>
  <c r="L51" i="1"/>
  <c r="K51" i="1"/>
  <c r="M51" i="1" s="1"/>
  <c r="L39" i="1"/>
  <c r="K39" i="1"/>
  <c r="M3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E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TIEMPO DE ENTREGA
STOCK MINIMO
DISTANCIAS
</t>
        </r>
      </text>
    </comment>
    <comment ref="G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Tiempo de respuesta
Plan de accion
Dev. De merc.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3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TIEMPO DE ENTREGA
STOCK MINIMO
DISTANCIAS
</t>
        </r>
      </text>
    </comment>
    <comment ref="C3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Tiempo de respuesta
Plan de accion
Dev. De merc.</t>
        </r>
      </text>
    </comment>
  </commentList>
</comments>
</file>

<file path=xl/sharedStrings.xml><?xml version="1.0" encoding="utf-8"?>
<sst xmlns="http://schemas.openxmlformats.org/spreadsheetml/2006/main" count="176" uniqueCount="113">
  <si>
    <t>EVALUACION DE PROVEEDORES DE MATERIAS PRIMAS</t>
  </si>
  <si>
    <t>PRECIOS</t>
  </si>
  <si>
    <t>CALIDAD</t>
  </si>
  <si>
    <t>MELAMINA</t>
  </si>
  <si>
    <t>FENOL</t>
  </si>
  <si>
    <t>FORMOL</t>
  </si>
  <si>
    <t>PAPEL KRAFT</t>
  </si>
  <si>
    <t>UFC</t>
  </si>
  <si>
    <t>PAPELES DECORATIVOS</t>
  </si>
  <si>
    <t>PAPELES PRINT</t>
  </si>
  <si>
    <t>UREA</t>
  </si>
  <si>
    <t>DIETILENGLICOL</t>
  </si>
  <si>
    <t>TRIETANOLAMINA</t>
  </si>
  <si>
    <t>APTS CT50</t>
  </si>
  <si>
    <t>ALCOHOL</t>
  </si>
  <si>
    <t>ALGINATO DE SODIO</t>
  </si>
  <si>
    <t>TINTAS</t>
  </si>
  <si>
    <t>PAPEL OVERLAY</t>
  </si>
  <si>
    <t>PAPELES IMPREGNADOS</t>
  </si>
  <si>
    <t>PROVEEDOR</t>
  </si>
  <si>
    <t>CARBOXIMETIL CELULOSA (tylose)</t>
  </si>
  <si>
    <t>HUMECTANTE (TRIUMNETZER)</t>
  </si>
  <si>
    <t>COMERCIAL</t>
  </si>
  <si>
    <t>NACIONAL / IMPORTADO</t>
  </si>
  <si>
    <t>LOGISTICA</t>
  </si>
  <si>
    <t>MEDIO AMBIENTE</t>
  </si>
  <si>
    <t>GESTION MEDIOAMBIENTAL</t>
  </si>
  <si>
    <t>PUNTACION</t>
  </si>
  <si>
    <t>A</t>
  </si>
  <si>
    <t>B</t>
  </si>
  <si>
    <t>C</t>
  </si>
  <si>
    <t>TOTAL</t>
  </si>
  <si>
    <t>CALIF.</t>
  </si>
  <si>
    <t xml:space="preserve">SASOL </t>
  </si>
  <si>
    <t>ATANOR</t>
  </si>
  <si>
    <t>ARAUCO</t>
  </si>
  <si>
    <t>KOTKAMILLS</t>
  </si>
  <si>
    <t>MUNKSJO</t>
  </si>
  <si>
    <t xml:space="preserve"> </t>
  </si>
  <si>
    <t>CUYOPLACAS</t>
  </si>
  <si>
    <t>SUSTRATO PARA PISOS</t>
  </si>
  <si>
    <t>YPF</t>
  </si>
  <si>
    <t>NO CONF.</t>
  </si>
  <si>
    <t>TODO DROGA</t>
  </si>
  <si>
    <t>CRITERIOS DE VALORACION</t>
  </si>
  <si>
    <t>PUNTUACION</t>
  </si>
  <si>
    <t>CALIFICACION DEL PROVEEDOR</t>
  </si>
  <si>
    <t>PRODUCTO/NO CONF.</t>
  </si>
  <si>
    <t>PRECIOS / CONDICIONES</t>
  </si>
  <si>
    <t>1 BUENO</t>
  </si>
  <si>
    <t xml:space="preserve">2 REGULAR </t>
  </si>
  <si>
    <t>3 MAL</t>
  </si>
  <si>
    <t>No cumple con los criterios y especificaciones que la empresa exihe.</t>
  </si>
  <si>
    <t>Que cumple con lo que la empresa necesita. Para logistica Nacional sera 1.</t>
  </si>
  <si>
    <t>Que no llega a cubrir todos los item o puntos ehigidos. Para logistica internacional sera 2.</t>
  </si>
  <si>
    <t>AREAS A EVALUAR</t>
  </si>
  <si>
    <t>Se valorara las distancias y procedencias, el prod. Nacional califica mejor que el importado por menor distancia, no requiere de stock minimo elevado por tiempo de viaje.</t>
  </si>
  <si>
    <t>Se considerara como factores trascendentales el precio del producto,  las condiciones de pago del mismo y las bonificaciones otorgadas.</t>
  </si>
  <si>
    <t>Se considerara el cumplimento de las especifaciones tecnicas. Las NC generadas, el tiempo de respuesta y acciones correctivas de las mismas y el accionar ante devoluciones de mercaderia defectuosa.</t>
  </si>
  <si>
    <t>Seran de relevancia aquellos productos que cuenten con certificaciones medioambientales, que demuestren politicas de mejoramiento continuo y limitacion de uso de sustancias quimicas nocivas.</t>
  </si>
  <si>
    <t>VALORACION</t>
  </si>
  <si>
    <t>A TONAL</t>
  </si>
  <si>
    <t>ELYPSE</t>
  </si>
  <si>
    <t>PORTA HNOS.</t>
  </si>
  <si>
    <t>SZCHIMER</t>
  </si>
  <si>
    <t>SEVENCOLOR</t>
  </si>
  <si>
    <t>SCHATTDECOR</t>
  </si>
  <si>
    <t>GLATFELTER</t>
  </si>
  <si>
    <t>IMPRESS</t>
  </si>
  <si>
    <t>NACIONAL IMPORTADO</t>
  </si>
  <si>
    <r>
      <t xml:space="preserve">GESTION </t>
    </r>
    <r>
      <rPr>
        <b/>
        <sz val="9"/>
        <rFont val="Calibri"/>
        <family val="2"/>
        <scheme val="minor"/>
      </rPr>
      <t>MEDIO AMBIENTAL</t>
    </r>
  </si>
  <si>
    <t>PROD.</t>
  </si>
  <si>
    <t>No se compro en el ultimo año, proveedor no calificado</t>
  </si>
  <si>
    <t xml:space="preserve">RAME </t>
  </si>
  <si>
    <t>LIAONING</t>
  </si>
  <si>
    <t>MATERIA PRIMA E INSUMOS BASICOS</t>
  </si>
  <si>
    <t>VILLA GUILLERMINA</t>
  </si>
  <si>
    <t>RAME</t>
  </si>
  <si>
    <t>CHAPADUR</t>
  </si>
  <si>
    <t>MDP/AGLOMERADO</t>
  </si>
  <si>
    <t>FIPLASTO</t>
  </si>
  <si>
    <t>CONDIC.</t>
  </si>
  <si>
    <t>FECHA:  NOVIEMBRE 2023</t>
  </si>
  <si>
    <t>FLEXIBILIDAD ACOMPAÑAMIENTO</t>
  </si>
  <si>
    <t>CONDICIONES ESPECIALES</t>
  </si>
  <si>
    <t>FLEXIB</t>
  </si>
  <si>
    <t>GRAL</t>
  </si>
  <si>
    <t>PARA ITEM CONDICIONES ESPECIALES LA PUNTUACION ES INVERSAMENTE PROPORCIONAL</t>
  </si>
  <si>
    <t>Proveedores ideales en cuanto a los item evaluados. El responsable de compras procede a efectivizar las mismas sin mayores preambulos.</t>
  </si>
  <si>
    <t>Proveedores que cuantan con peor calificacion inicial (comercial/logistica/calidad/MA) pero demuestran mayor flexibilidad y acompañamiento ante situaciones o contextos adversos brindando un plus a su valoracion final.</t>
  </si>
  <si>
    <t>Proveedores que cuantan con buena calificacion inicial (comercial/logistica/calidad/MA) pero no son flexibles y/o acompañan ante situaciones especiales.</t>
  </si>
  <si>
    <t>Proveedores con calificacion media y poco flexibles</t>
  </si>
  <si>
    <t>Proveedores con mala calificacion inicial, pero muy flexibles ante situaciones especiales. Solo serán considerados para la subsitencia de la linea de produccion.</t>
  </si>
  <si>
    <t>No puede ser tenido en cuenta, salvo sitaciones extremas.</t>
  </si>
  <si>
    <t>No puede ser tenido en cuenta, buscar alternativa inminente.</t>
  </si>
  <si>
    <t>En estos proveedores, se realizaran los analisis y seguimientos correspondientes según criterios de materia prima bajo control.</t>
  </si>
  <si>
    <t>En estos proveedores, se realizara un seguimientos constante y minucuiso de cada operación. Las compras serán solo de carácter excepcional, salvo que la calificacion de los mismos mejores tras las evaluaciones.</t>
  </si>
  <si>
    <t>Proveedores con calificacion inicial ideal pero inflexibles</t>
  </si>
  <si>
    <t>Su calificacion hace inviable el cierre de operaciones</t>
  </si>
  <si>
    <t>Se valorará con mejor calificacion aquellos proveedores que demuestren mayor flexibilidad y/o acompañamiento ante situaciones especiales (Crisis economicas, restricciones importaciones)</t>
  </si>
  <si>
    <t>ENTRO</t>
  </si>
  <si>
    <t>ENTRO (LG)</t>
  </si>
  <si>
    <t>PM</t>
  </si>
  <si>
    <t>NATH</t>
  </si>
  <si>
    <t>CAIEIRAS</t>
  </si>
  <si>
    <t>FAPLAC</t>
  </si>
  <si>
    <t>SCHWARTZ  VRENA</t>
  </si>
  <si>
    <t>INQUIMEX</t>
  </si>
  <si>
    <t>ALETTI</t>
  </si>
  <si>
    <t>FRADEALCO</t>
  </si>
  <si>
    <t>TODODROGA</t>
  </si>
  <si>
    <t>GEFINK</t>
  </si>
  <si>
    <t>LUMPACK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</si>
</sst>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Fill="1" applyAlignment="1">
      <alignment horizontal="center"/>
    </xf>
    <xf numFmtId="0" fontId="0" fillId="3" borderId="0" xfId="0" applyFont="1" applyFill="1"/>
    <xf numFmtId="0" fontId="5" fillId="0" borderId="0" xfId="0" applyFont="1"/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vertical="center"/>
    </xf>
    <xf numFmtId="0" fontId="9" fillId="8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4" fillId="0" borderId="1" xfId="1" applyFill="1" applyBorder="1" applyAlignment="1">
      <alignment horizontal="center"/>
    </xf>
    <xf numFmtId="0" fontId="14" fillId="0" borderId="1" xfId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15" fillId="0" borderId="0" xfId="0" applyFont="1" applyFill="1"/>
    <xf numFmtId="0" fontId="15" fillId="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0" fillId="7" borderId="0" xfId="0" applyFill="1"/>
    <xf numFmtId="0" fontId="0" fillId="6" borderId="0" xfId="0" applyFill="1"/>
    <xf numFmtId="0" fontId="7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11" borderId="0" xfId="0" applyFill="1"/>
    <xf numFmtId="0" fontId="0" fillId="9" borderId="0" xfId="0" applyFill="1"/>
    <xf numFmtId="0" fontId="9" fillId="6" borderId="1" xfId="0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9" fillId="0" borderId="14" xfId="0" applyFont="1" applyFill="1" applyBorder="1" applyAlignment="1">
      <alignment horizontal="center" vertical="center"/>
    </xf>
    <xf numFmtId="0" fontId="4" fillId="0" borderId="0" xfId="0" applyFont="1" applyBorder="1" applyAlignment="1"/>
    <xf numFmtId="0" fontId="3" fillId="0" borderId="1" xfId="1" applyFont="1" applyFill="1" applyBorder="1" applyAlignment="1">
      <alignment horizontal="center"/>
    </xf>
    <xf numFmtId="0" fontId="7" fillId="0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6" fillId="9" borderId="0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9" borderId="0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www.kotkamills.com/en/certificates" TargetMode="External"/><Relationship Id="rId7" Type="http://schemas.openxmlformats.org/officeDocument/2006/relationships/hyperlink" Target="https://www.schattdecor.de/es/sobre-nosotros" TargetMode="External"/><Relationship Id="rId2" Type="http://schemas.openxmlformats.org/officeDocument/2006/relationships/hyperlink" Target="https://www.arauco.cl/argentina/sostenibilidad/certificaciones/" TargetMode="External"/><Relationship Id="rId1" Type="http://schemas.openxmlformats.org/officeDocument/2006/relationships/hyperlink" Target="https://www.ahlstrom-munksjo.com/sustainability/certifications/" TargetMode="External"/><Relationship Id="rId6" Type="http://schemas.openxmlformats.org/officeDocument/2006/relationships/hyperlink" Target="http://www.sadepan.com.ar/nosotros-certificaciones/" TargetMode="External"/><Relationship Id="rId5" Type="http://schemas.openxmlformats.org/officeDocument/2006/relationships/hyperlink" Target="https://www.mdpapeis.com.br/es/tecnologia/certificaciones/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www.arauco.cl/argentina/sostenibilidad/certificaciones/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tabSelected="1" zoomScale="98" zoomScaleNormal="98" workbookViewId="0">
      <pane xSplit="1" ySplit="8" topLeftCell="B63" activePane="bottomRight" state="frozen"/>
      <selection pane="topRight" activeCell="B1" sqref="B1"/>
      <selection pane="bottomLeft" activeCell="A10" sqref="A10"/>
      <selection pane="bottomRight" activeCell="I68" sqref="I68"/>
    </sheetView>
  </sheetViews>
  <sheetFormatPr baseColWidth="10" defaultRowHeight="18.75" x14ac:dyDescent="0.3"/>
  <cols>
    <col min="1" max="1" width="17.140625" style="2" customWidth="1"/>
    <col min="2" max="2" width="17" style="2" bestFit="1" customWidth="1"/>
    <col min="3" max="3" width="7.42578125" style="12" bestFit="1" customWidth="1"/>
    <col min="4" max="4" width="7.85546875" style="12" customWidth="1"/>
    <col min="5" max="5" width="13.7109375" style="12" customWidth="1"/>
    <col min="6" max="7" width="5.85546875" style="12" bestFit="1" customWidth="1"/>
    <col min="8" max="8" width="13.42578125" style="12" customWidth="1"/>
    <col min="9" max="9" width="17" style="12" customWidth="1"/>
    <col min="10" max="10" width="7.42578125" style="3" customWidth="1"/>
    <col min="11" max="11" width="5.5703125" style="3" hidden="1" customWidth="1"/>
    <col min="12" max="12" width="7" style="57" customWidth="1"/>
    <col min="13" max="13" width="7.5703125" customWidth="1"/>
  </cols>
  <sheetData>
    <row r="1" spans="1:13" ht="26.25" x14ac:dyDescent="0.4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spans="1:13" ht="26.25" customHeight="1" x14ac:dyDescent="0.4">
      <c r="A2" s="102" t="s">
        <v>82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3" x14ac:dyDescent="0.3">
      <c r="A3" s="114" t="s">
        <v>60</v>
      </c>
      <c r="B3" s="114"/>
      <c r="C3" s="114"/>
      <c r="D3" s="85"/>
      <c r="F3" s="101" t="s">
        <v>27</v>
      </c>
      <c r="G3" s="101"/>
      <c r="H3" s="101"/>
      <c r="I3" s="52"/>
    </row>
    <row r="4" spans="1:13" x14ac:dyDescent="0.3">
      <c r="A4" s="21" t="s">
        <v>49</v>
      </c>
      <c r="B4" s="22" t="s">
        <v>50</v>
      </c>
      <c r="C4" s="65" t="s">
        <v>51</v>
      </c>
      <c r="D4" s="65"/>
      <c r="E4" s="86"/>
      <c r="F4" s="23" t="s">
        <v>28</v>
      </c>
      <c r="G4" s="24" t="s">
        <v>29</v>
      </c>
      <c r="H4" s="25" t="s">
        <v>30</v>
      </c>
      <c r="I4" s="65"/>
    </row>
    <row r="5" spans="1:13" x14ac:dyDescent="0.3">
      <c r="A5" s="5"/>
      <c r="B5" s="16"/>
      <c r="C5" s="3"/>
      <c r="D5" s="3"/>
      <c r="F5" s="87"/>
    </row>
    <row r="6" spans="1:13" x14ac:dyDescent="0.3">
      <c r="A6" s="5"/>
      <c r="B6" s="5"/>
    </row>
    <row r="7" spans="1:13" ht="25.5" x14ac:dyDescent="0.25">
      <c r="A7" s="103" t="s">
        <v>75</v>
      </c>
      <c r="B7" s="105" t="s">
        <v>19</v>
      </c>
      <c r="C7" s="116" t="s">
        <v>22</v>
      </c>
      <c r="D7" s="116"/>
      <c r="E7" s="29" t="s">
        <v>24</v>
      </c>
      <c r="F7" s="115" t="s">
        <v>2</v>
      </c>
      <c r="G7" s="115"/>
      <c r="H7" s="62" t="s">
        <v>25</v>
      </c>
      <c r="I7" s="63" t="s">
        <v>84</v>
      </c>
      <c r="J7" s="107" t="s">
        <v>31</v>
      </c>
      <c r="K7" s="55"/>
      <c r="L7" s="120" t="s">
        <v>32</v>
      </c>
      <c r="M7" s="121"/>
    </row>
    <row r="8" spans="1:13" ht="25.5" x14ac:dyDescent="0.25">
      <c r="A8" s="104"/>
      <c r="B8" s="106"/>
      <c r="C8" s="17" t="s">
        <v>1</v>
      </c>
      <c r="D8" s="17" t="s">
        <v>81</v>
      </c>
      <c r="E8" s="28" t="s">
        <v>69</v>
      </c>
      <c r="F8" s="18" t="s">
        <v>71</v>
      </c>
      <c r="G8" s="19" t="s">
        <v>42</v>
      </c>
      <c r="H8" s="20" t="s">
        <v>70</v>
      </c>
      <c r="I8" s="64" t="s">
        <v>83</v>
      </c>
      <c r="J8" s="108"/>
      <c r="K8" s="56"/>
      <c r="L8" s="122"/>
      <c r="M8" s="123"/>
    </row>
    <row r="9" spans="1:13" s="1" customFormat="1" x14ac:dyDescent="0.3">
      <c r="A9" s="117" t="s">
        <v>3</v>
      </c>
      <c r="B9" s="30" t="s">
        <v>74</v>
      </c>
      <c r="C9" s="9">
        <v>1</v>
      </c>
      <c r="D9" s="9">
        <v>1</v>
      </c>
      <c r="E9" s="9">
        <v>2</v>
      </c>
      <c r="F9" s="9">
        <v>1</v>
      </c>
      <c r="G9" s="9">
        <v>1</v>
      </c>
      <c r="H9" s="9">
        <v>1</v>
      </c>
      <c r="I9" s="9">
        <v>2</v>
      </c>
      <c r="J9" s="39">
        <f>SUM(C9:H9)</f>
        <v>7</v>
      </c>
      <c r="K9" s="39">
        <f>J9*I9</f>
        <v>14</v>
      </c>
      <c r="L9" s="58" t="str">
        <f>IF(J9&lt;9,"A",IF(J9&lt;15,"B",IF(J9&lt;19,"C")))</f>
        <v>A</v>
      </c>
      <c r="M9" s="58" t="str">
        <f>IF(K9&lt;=9,"C",IF(K9&lt;18,"B",IF(K9&gt;=18,"A")))</f>
        <v>B</v>
      </c>
    </row>
    <row r="10" spans="1:13" s="1" customFormat="1" x14ac:dyDescent="0.3">
      <c r="A10" s="118"/>
      <c r="B10" s="31" t="s">
        <v>100</v>
      </c>
      <c r="C10" s="9">
        <v>1</v>
      </c>
      <c r="D10" s="9">
        <v>1</v>
      </c>
      <c r="E10" s="9">
        <v>2</v>
      </c>
      <c r="F10" s="9">
        <v>1</v>
      </c>
      <c r="G10" s="9">
        <v>1</v>
      </c>
      <c r="H10" s="9">
        <v>2</v>
      </c>
      <c r="I10" s="9">
        <v>2</v>
      </c>
      <c r="J10" s="39">
        <f>SUM(C10:H10)</f>
        <v>8</v>
      </c>
      <c r="K10" s="39">
        <f>J10*I10</f>
        <v>16</v>
      </c>
      <c r="L10" s="58" t="str">
        <f>IF(J10&lt;9,"A",IF(J10&lt;15,"B",IF(J10&lt;19,"C")))</f>
        <v>A</v>
      </c>
      <c r="M10" s="58" t="str">
        <f>IF(K10&lt;=9,"C",IF(K10&lt;18,"B",IF(K10&gt;=18,"A")))</f>
        <v>B</v>
      </c>
    </row>
    <row r="11" spans="1:13" s="1" customFormat="1" x14ac:dyDescent="0.3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2"/>
      <c r="M11" s="58"/>
    </row>
    <row r="12" spans="1:13" s="1" customFormat="1" x14ac:dyDescent="0.3">
      <c r="A12" s="89" t="s">
        <v>4</v>
      </c>
      <c r="B12" s="30" t="s">
        <v>33</v>
      </c>
      <c r="C12" s="9"/>
      <c r="D12" s="9"/>
      <c r="E12" s="9" t="s">
        <v>72</v>
      </c>
      <c r="F12" s="9"/>
      <c r="G12" s="9"/>
      <c r="H12" s="42"/>
      <c r="I12" s="42"/>
      <c r="J12" s="39">
        <f>SUM(C12:H12)</f>
        <v>0</v>
      </c>
      <c r="K12" s="39">
        <f>J12*I12</f>
        <v>0</v>
      </c>
      <c r="L12" s="58" t="str">
        <f>IF(J12&lt;9,"A",IF(J12&lt;15,"B",IF(J12&lt;19,"C")))</f>
        <v>A</v>
      </c>
      <c r="M12" s="58" t="str">
        <f t="shared" ref="M12:M73" si="0">IF(K12&lt;=9,"C",IF(K12&lt;18,"B",IF(K12&gt;=18,"A")))</f>
        <v>C</v>
      </c>
    </row>
    <row r="13" spans="1:13" s="1" customFormat="1" x14ac:dyDescent="0.3">
      <c r="A13" s="89"/>
      <c r="B13" s="48" t="s">
        <v>101</v>
      </c>
      <c r="C13" s="9">
        <v>2</v>
      </c>
      <c r="D13" s="9">
        <v>1</v>
      </c>
      <c r="E13" s="9">
        <v>2</v>
      </c>
      <c r="F13" s="9">
        <v>1</v>
      </c>
      <c r="G13" s="9">
        <v>1</v>
      </c>
      <c r="H13" s="42">
        <v>1</v>
      </c>
      <c r="I13" s="79">
        <v>3</v>
      </c>
      <c r="J13" s="39">
        <f t="shared" ref="J13:J14" si="1">SUM(C13:H13)</f>
        <v>8</v>
      </c>
      <c r="K13" s="39">
        <f t="shared" ref="K13" si="2">J13*I13</f>
        <v>24</v>
      </c>
      <c r="L13" s="58" t="str">
        <f t="shared" ref="L13:L14" si="3">IF(J13&lt;9,"A",IF(J13&lt;15,"B",IF(J13&lt;19,"C")))</f>
        <v>A</v>
      </c>
      <c r="M13" s="58" t="str">
        <f t="shared" si="0"/>
        <v>A</v>
      </c>
    </row>
    <row r="14" spans="1:13" s="1" customFormat="1" x14ac:dyDescent="0.3">
      <c r="A14" s="89"/>
      <c r="B14" s="31" t="s">
        <v>34</v>
      </c>
      <c r="C14" s="13">
        <v>2</v>
      </c>
      <c r="D14" s="13">
        <v>2</v>
      </c>
      <c r="E14" s="9">
        <v>1</v>
      </c>
      <c r="F14" s="13">
        <v>1</v>
      </c>
      <c r="G14" s="13">
        <v>1</v>
      </c>
      <c r="H14" s="13">
        <v>1</v>
      </c>
      <c r="I14" s="13">
        <v>2</v>
      </c>
      <c r="J14" s="39">
        <f t="shared" si="1"/>
        <v>8</v>
      </c>
      <c r="K14" s="39">
        <f>J14*I14</f>
        <v>16</v>
      </c>
      <c r="L14" s="58" t="str">
        <f t="shared" si="3"/>
        <v>A</v>
      </c>
      <c r="M14" s="58" t="str">
        <f t="shared" si="0"/>
        <v>B</v>
      </c>
    </row>
    <row r="15" spans="1:13" s="1" customFormat="1" x14ac:dyDescent="0.3">
      <c r="A15" s="109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1"/>
      <c r="M15" s="58"/>
    </row>
    <row r="16" spans="1:13" s="1" customFormat="1" x14ac:dyDescent="0.3">
      <c r="A16" s="54" t="s">
        <v>5</v>
      </c>
      <c r="B16" s="31" t="s">
        <v>35</v>
      </c>
      <c r="C16" s="9">
        <v>1</v>
      </c>
      <c r="D16" s="9">
        <v>2</v>
      </c>
      <c r="E16" s="9">
        <v>1</v>
      </c>
      <c r="F16" s="9">
        <v>1</v>
      </c>
      <c r="G16" s="9">
        <v>1</v>
      </c>
      <c r="H16" s="42">
        <v>1</v>
      </c>
      <c r="I16" s="80">
        <v>2</v>
      </c>
      <c r="J16" s="39">
        <f>SUM(C16:H16)</f>
        <v>7</v>
      </c>
      <c r="K16" s="39">
        <f>J16*I16</f>
        <v>14</v>
      </c>
      <c r="L16" s="58" t="str">
        <f>IF(J16&lt;9,"A",IF(J16&lt;15,"B",IF(J16&lt;19,"C")))</f>
        <v>A</v>
      </c>
      <c r="M16" s="58" t="str">
        <f t="shared" si="0"/>
        <v>B</v>
      </c>
    </row>
    <row r="17" spans="1:13" s="1" customFormat="1" x14ac:dyDescent="0.3">
      <c r="A17" s="90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2"/>
      <c r="M17" s="58"/>
    </row>
    <row r="18" spans="1:13" s="1" customFormat="1" x14ac:dyDescent="0.3">
      <c r="A18" s="89" t="s">
        <v>6</v>
      </c>
      <c r="B18" s="31" t="s">
        <v>36</v>
      </c>
      <c r="C18" s="9">
        <v>1</v>
      </c>
      <c r="D18" s="9">
        <v>2</v>
      </c>
      <c r="E18" s="9">
        <v>2</v>
      </c>
      <c r="F18" s="9">
        <v>1</v>
      </c>
      <c r="G18" s="9">
        <v>1</v>
      </c>
      <c r="H18" s="43">
        <v>1</v>
      </c>
      <c r="I18" s="81">
        <v>2</v>
      </c>
      <c r="J18" s="39">
        <f>SUM(C18:H18)</f>
        <v>8</v>
      </c>
      <c r="K18" s="39">
        <f>J18*I18</f>
        <v>16</v>
      </c>
      <c r="L18" s="58" t="str">
        <f>IF(J18&lt;9,"A",IF(J18&lt;15,"B",IF(J18&lt;19,"C")))</f>
        <v>A</v>
      </c>
      <c r="M18" s="58" t="str">
        <f t="shared" si="0"/>
        <v>B</v>
      </c>
    </row>
    <row r="19" spans="1:13" s="1" customFormat="1" x14ac:dyDescent="0.3">
      <c r="A19" s="89"/>
      <c r="B19" s="31" t="s">
        <v>102</v>
      </c>
      <c r="C19" s="9">
        <v>2</v>
      </c>
      <c r="D19" s="9">
        <v>2</v>
      </c>
      <c r="E19" s="9">
        <v>1</v>
      </c>
      <c r="F19" s="9">
        <v>2</v>
      </c>
      <c r="G19" s="9">
        <v>2</v>
      </c>
      <c r="H19" s="38">
        <v>1</v>
      </c>
      <c r="I19" s="40">
        <v>2</v>
      </c>
      <c r="J19" s="39">
        <f t="shared" ref="J19:J20" si="4">SUM(C19:H19)</f>
        <v>10</v>
      </c>
      <c r="K19" s="39">
        <f t="shared" ref="K19:K20" si="5">J19*I19</f>
        <v>20</v>
      </c>
      <c r="L19" s="58" t="str">
        <f>IF(J19&lt;9,"A",IF(J19&lt;15,"B",IF(J19&lt;19,"C")))</f>
        <v>B</v>
      </c>
      <c r="M19" s="58" t="str">
        <f t="shared" si="0"/>
        <v>A</v>
      </c>
    </row>
    <row r="20" spans="1:13" s="1" customFormat="1" x14ac:dyDescent="0.3">
      <c r="A20" s="89"/>
      <c r="B20" s="31" t="s">
        <v>103</v>
      </c>
      <c r="C20" s="9">
        <v>1</v>
      </c>
      <c r="D20" s="9">
        <v>2</v>
      </c>
      <c r="E20" s="9">
        <v>2</v>
      </c>
      <c r="F20" s="9">
        <v>2</v>
      </c>
      <c r="G20" s="9">
        <v>1</v>
      </c>
      <c r="H20" s="9">
        <v>1</v>
      </c>
      <c r="I20" s="9">
        <v>1</v>
      </c>
      <c r="J20" s="39">
        <f t="shared" si="4"/>
        <v>9</v>
      </c>
      <c r="K20" s="39">
        <f t="shared" si="5"/>
        <v>9</v>
      </c>
      <c r="L20" s="58" t="str">
        <f>IF(J20&lt;9,"A",IF(J20&lt;15,"B",IF(J20&lt;19,"C")))</f>
        <v>B</v>
      </c>
      <c r="M20" s="58" t="str">
        <f>IF(K20&lt;=9,"C",IF(K20&lt;18,"B",IF(K20&gt;=18,"A")))</f>
        <v>C</v>
      </c>
    </row>
    <row r="21" spans="1:13" s="1" customFormat="1" x14ac:dyDescent="0.3">
      <c r="A21" s="90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2"/>
      <c r="M21" s="58"/>
    </row>
    <row r="22" spans="1:13" s="1" customFormat="1" x14ac:dyDescent="0.3">
      <c r="A22" s="89" t="s">
        <v>7</v>
      </c>
      <c r="B22" s="31" t="s">
        <v>35</v>
      </c>
      <c r="C22" s="9">
        <v>1</v>
      </c>
      <c r="D22" s="9">
        <v>2</v>
      </c>
      <c r="E22" s="9">
        <v>1</v>
      </c>
      <c r="F22" s="9">
        <v>1</v>
      </c>
      <c r="G22" s="9">
        <v>1</v>
      </c>
      <c r="H22" s="43">
        <v>1</v>
      </c>
      <c r="I22" s="81">
        <v>2</v>
      </c>
      <c r="J22" s="39">
        <f>SUM(C22:H22)</f>
        <v>7</v>
      </c>
      <c r="K22" s="39">
        <f>J22*I22</f>
        <v>14</v>
      </c>
      <c r="L22" s="58" t="str">
        <f>IF(J22&lt;9,"A",IF(J22&lt;15,"B",IF(J22&lt;19,"C")))</f>
        <v>A</v>
      </c>
      <c r="M22" s="58" t="str">
        <f t="shared" si="0"/>
        <v>B</v>
      </c>
    </row>
    <row r="23" spans="1:13" s="1" customFormat="1" x14ac:dyDescent="0.3">
      <c r="A23" s="89"/>
      <c r="B23" s="31"/>
      <c r="C23" s="9"/>
      <c r="D23" s="9"/>
      <c r="E23" s="9"/>
      <c r="F23" s="9"/>
      <c r="G23" s="9"/>
      <c r="H23" s="9"/>
      <c r="I23" s="13"/>
      <c r="J23" s="39">
        <f>SUM(C23:H23)</f>
        <v>0</v>
      </c>
      <c r="K23" s="39">
        <f>J23*I23</f>
        <v>0</v>
      </c>
      <c r="L23" s="58" t="str">
        <f>IF(J23&lt;9,"A",IF(J23&lt;15,"B",IF(J23&lt;19,"C")))</f>
        <v>A</v>
      </c>
      <c r="M23" s="58" t="str">
        <f t="shared" si="0"/>
        <v>C</v>
      </c>
    </row>
    <row r="24" spans="1:13" s="1" customFormat="1" x14ac:dyDescent="0.3">
      <c r="A24" s="90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2"/>
      <c r="M24" s="58"/>
    </row>
    <row r="25" spans="1:13" s="1" customFormat="1" x14ac:dyDescent="0.3">
      <c r="A25" s="93" t="s">
        <v>8</v>
      </c>
      <c r="B25" s="31" t="s">
        <v>104</v>
      </c>
      <c r="C25" s="9">
        <v>2</v>
      </c>
      <c r="D25" s="9">
        <v>1</v>
      </c>
      <c r="E25" s="9">
        <v>2</v>
      </c>
      <c r="F25" s="9">
        <v>1</v>
      </c>
      <c r="G25" s="9">
        <v>1</v>
      </c>
      <c r="H25" s="43">
        <v>1</v>
      </c>
      <c r="I25" s="81">
        <v>2</v>
      </c>
      <c r="J25" s="39">
        <f>SUM(C25:I25)</f>
        <v>10</v>
      </c>
      <c r="K25" s="39">
        <f>J25*I25</f>
        <v>20</v>
      </c>
      <c r="L25" s="58" t="str">
        <f>IF(J25&lt;9,"A",IF(J25&lt;15,"B",IF(J25&lt;19,"C")))</f>
        <v>B</v>
      </c>
      <c r="M25" s="58" t="str">
        <f t="shared" si="0"/>
        <v>A</v>
      </c>
    </row>
    <row r="26" spans="1:13" s="1" customFormat="1" x14ac:dyDescent="0.3">
      <c r="A26" s="93"/>
      <c r="B26" s="31" t="s">
        <v>37</v>
      </c>
      <c r="C26" s="9">
        <v>2</v>
      </c>
      <c r="D26" s="9">
        <v>1</v>
      </c>
      <c r="E26" s="9">
        <v>2</v>
      </c>
      <c r="F26" s="9">
        <v>1</v>
      </c>
      <c r="G26" s="9">
        <v>1</v>
      </c>
      <c r="H26" s="42">
        <v>1</v>
      </c>
      <c r="I26" s="79">
        <v>2</v>
      </c>
      <c r="J26" s="39">
        <f>SUM(C26:I26)</f>
        <v>10</v>
      </c>
      <c r="K26" s="39">
        <f>J26*I26</f>
        <v>20</v>
      </c>
      <c r="L26" s="58" t="str">
        <f>IF(J26&lt;9,"A",IF(J26&lt;15,"B",IF(J26&lt;19,"C")))</f>
        <v>B</v>
      </c>
      <c r="M26" s="58" t="str">
        <f t="shared" si="0"/>
        <v>A</v>
      </c>
    </row>
    <row r="27" spans="1:13" s="1" customFormat="1" x14ac:dyDescent="0.3">
      <c r="A27" s="90" t="s">
        <v>38</v>
      </c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2"/>
      <c r="M27" s="58"/>
    </row>
    <row r="28" spans="1:13" s="1" customFormat="1" x14ac:dyDescent="0.3">
      <c r="A28" s="49" t="s">
        <v>9</v>
      </c>
      <c r="B28" s="31" t="s">
        <v>37</v>
      </c>
      <c r="C28" s="9">
        <v>2</v>
      </c>
      <c r="D28" s="9">
        <v>1</v>
      </c>
      <c r="E28" s="9">
        <v>2</v>
      </c>
      <c r="F28" s="9">
        <v>1</v>
      </c>
      <c r="G28" s="9">
        <v>1</v>
      </c>
      <c r="H28" s="42">
        <v>1</v>
      </c>
      <c r="I28" s="79">
        <v>2</v>
      </c>
      <c r="J28" s="39">
        <f>SUM(C28:I28)</f>
        <v>10</v>
      </c>
      <c r="K28" s="39">
        <f>J28*I28</f>
        <v>20</v>
      </c>
      <c r="L28" s="58" t="str">
        <f>IF(J28&lt;9,"A",IF(J28&lt;15,"B",IF(J28&lt;19,"C")))</f>
        <v>B</v>
      </c>
      <c r="M28" s="58" t="str">
        <f t="shared" si="0"/>
        <v>A</v>
      </c>
    </row>
    <row r="29" spans="1:13" s="1" customForma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2"/>
      <c r="M29" s="58"/>
    </row>
    <row r="30" spans="1:13" s="1" customFormat="1" x14ac:dyDescent="0.3">
      <c r="A30" s="112" t="s">
        <v>79</v>
      </c>
      <c r="B30" s="44" t="s">
        <v>105</v>
      </c>
      <c r="C30" s="9">
        <v>1</v>
      </c>
      <c r="D30" s="9">
        <v>3</v>
      </c>
      <c r="E30" s="9">
        <v>1</v>
      </c>
      <c r="F30" s="9">
        <v>1</v>
      </c>
      <c r="G30" s="9">
        <v>1</v>
      </c>
      <c r="H30" s="42">
        <v>1</v>
      </c>
      <c r="I30" s="79">
        <v>2</v>
      </c>
      <c r="J30" s="39">
        <f>SUM(C30:I30)</f>
        <v>10</v>
      </c>
      <c r="K30" s="39">
        <f>J30*I30</f>
        <v>20</v>
      </c>
      <c r="L30" s="58" t="str">
        <f>IF(J30&lt;9,"A",IF(J30&lt;15,"B",IF(J30&lt;19,"C")))</f>
        <v>B</v>
      </c>
      <c r="M30" s="58" t="str">
        <f t="shared" si="0"/>
        <v>A</v>
      </c>
    </row>
    <row r="31" spans="1:13" s="1" customFormat="1" x14ac:dyDescent="0.3">
      <c r="A31" s="113"/>
      <c r="B31" s="45" t="s">
        <v>39</v>
      </c>
      <c r="C31" s="9">
        <v>2</v>
      </c>
      <c r="D31" s="9">
        <v>2</v>
      </c>
      <c r="E31" s="9">
        <v>1</v>
      </c>
      <c r="F31" s="9">
        <v>1</v>
      </c>
      <c r="G31" s="9">
        <v>1</v>
      </c>
      <c r="H31" s="9">
        <v>2</v>
      </c>
      <c r="I31" s="13">
        <v>2</v>
      </c>
      <c r="J31" s="39">
        <f>SUM(C31:I31)</f>
        <v>11</v>
      </c>
      <c r="K31" s="39">
        <f>J31*I31</f>
        <v>22</v>
      </c>
      <c r="L31" s="58" t="str">
        <f>IF(J31&lt;9,"A",IF(J31&lt;15,"B",IF(J31&lt;19,"C")))</f>
        <v>B</v>
      </c>
      <c r="M31" s="58" t="str">
        <f t="shared" si="0"/>
        <v>A</v>
      </c>
    </row>
    <row r="32" spans="1:13" s="1" customFormat="1" x14ac:dyDescent="0.3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2"/>
      <c r="M32" s="58"/>
    </row>
    <row r="33" spans="1:13" s="1" customFormat="1" x14ac:dyDescent="0.3">
      <c r="A33" s="112" t="s">
        <v>78</v>
      </c>
      <c r="B33" s="47" t="s">
        <v>80</v>
      </c>
      <c r="C33" s="9">
        <v>2</v>
      </c>
      <c r="D33" s="9">
        <v>2</v>
      </c>
      <c r="E33" s="9">
        <v>1</v>
      </c>
      <c r="F33" s="9">
        <v>2</v>
      </c>
      <c r="G33" s="9">
        <v>2</v>
      </c>
      <c r="H33" s="1">
        <v>2</v>
      </c>
      <c r="I33" s="83">
        <v>1</v>
      </c>
      <c r="J33" s="39">
        <f>SUM(C33:I33)</f>
        <v>12</v>
      </c>
      <c r="K33" s="39">
        <f>J33*I33</f>
        <v>12</v>
      </c>
      <c r="L33" s="58" t="str">
        <f>IF(J33&lt;9,"A",IF(J33&lt;15,"B",IF(J33&lt;19,"C")))</f>
        <v>B</v>
      </c>
      <c r="M33" s="58" t="str">
        <f>IF(K33&lt;=9,"C",IF(K33&lt;18,"B",IF(K33&gt;=18,"A")))</f>
        <v>B</v>
      </c>
    </row>
    <row r="34" spans="1:13" s="1" customFormat="1" x14ac:dyDescent="0.3">
      <c r="A34" s="113"/>
      <c r="B34" s="45" t="s">
        <v>106</v>
      </c>
      <c r="C34" s="9">
        <v>1</v>
      </c>
      <c r="D34" s="9">
        <v>2</v>
      </c>
      <c r="E34" s="9">
        <v>2</v>
      </c>
      <c r="F34" s="9">
        <v>1</v>
      </c>
      <c r="G34" s="9">
        <v>1</v>
      </c>
      <c r="H34" s="82">
        <v>2</v>
      </c>
      <c r="I34" s="9">
        <v>2</v>
      </c>
      <c r="J34" s="39">
        <f>SUM(C34:I34)</f>
        <v>11</v>
      </c>
      <c r="K34" s="39">
        <f>J34*I34</f>
        <v>22</v>
      </c>
      <c r="L34" s="58" t="str">
        <f>IF(J34&lt;9,"A",IF(J34&lt;15,"B",IF(J34&lt;19,"C")))</f>
        <v>B</v>
      </c>
      <c r="M34" s="58" t="str">
        <f t="shared" si="0"/>
        <v>A</v>
      </c>
    </row>
    <row r="35" spans="1:13" s="1" customForma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2"/>
      <c r="M35" s="58"/>
    </row>
    <row r="36" spans="1:13" s="1" customFormat="1" ht="25.5" x14ac:dyDescent="0.3">
      <c r="A36" s="51" t="s">
        <v>40</v>
      </c>
      <c r="B36" s="31" t="s">
        <v>76</v>
      </c>
      <c r="C36" s="9">
        <v>2</v>
      </c>
      <c r="D36" s="9">
        <v>1</v>
      </c>
      <c r="E36" s="9">
        <v>1</v>
      </c>
      <c r="F36" s="9">
        <v>2</v>
      </c>
      <c r="G36" s="9">
        <v>2</v>
      </c>
      <c r="H36" s="1">
        <v>2</v>
      </c>
      <c r="I36" s="83">
        <v>2</v>
      </c>
      <c r="J36" s="39">
        <f>SUM(C36:I36)</f>
        <v>12</v>
      </c>
      <c r="K36" s="39">
        <f>J36*I36</f>
        <v>24</v>
      </c>
      <c r="L36" s="58" t="str">
        <f>IF(J36&lt;9,"A",IF(J36&lt;15,"B",IF(J36&lt;19,"C")))</f>
        <v>B</v>
      </c>
      <c r="M36" s="58" t="str">
        <f t="shared" si="0"/>
        <v>A</v>
      </c>
    </row>
    <row r="37" spans="1:13" s="1" customForma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2"/>
      <c r="M37" s="58"/>
    </row>
    <row r="38" spans="1:13" s="1" customFormat="1" x14ac:dyDescent="0.3">
      <c r="A38" s="89" t="s">
        <v>10</v>
      </c>
      <c r="B38" s="31" t="s">
        <v>107</v>
      </c>
      <c r="C38" s="9">
        <v>1</v>
      </c>
      <c r="D38" s="9">
        <v>1</v>
      </c>
      <c r="E38" s="9">
        <v>1</v>
      </c>
      <c r="F38" s="9">
        <v>1</v>
      </c>
      <c r="G38" s="9">
        <v>1</v>
      </c>
      <c r="H38" s="38">
        <v>2</v>
      </c>
      <c r="I38" s="40">
        <v>2</v>
      </c>
      <c r="J38" s="39">
        <f>SUM(C38:I38)</f>
        <v>9</v>
      </c>
      <c r="K38" s="39">
        <f>J38*I38</f>
        <v>18</v>
      </c>
      <c r="L38" s="58" t="str">
        <f>IF(J38&lt;9,"A",IF(J38&lt;15,"B",IF(J38&lt;19,"C")))</f>
        <v>B</v>
      </c>
      <c r="M38" s="58" t="str">
        <f t="shared" si="0"/>
        <v>A</v>
      </c>
    </row>
    <row r="39" spans="1:13" s="1" customFormat="1" x14ac:dyDescent="0.3">
      <c r="A39" s="89"/>
      <c r="B39" s="31" t="s">
        <v>41</v>
      </c>
      <c r="C39" s="9">
        <v>2</v>
      </c>
      <c r="D39" s="9">
        <v>2</v>
      </c>
      <c r="E39" s="9">
        <v>1</v>
      </c>
      <c r="F39" s="9">
        <v>1</v>
      </c>
      <c r="G39" s="9">
        <v>1</v>
      </c>
      <c r="H39" s="38">
        <v>3</v>
      </c>
      <c r="I39" s="40">
        <v>2</v>
      </c>
      <c r="J39" s="39">
        <f>SUM(C39:I39)</f>
        <v>12</v>
      </c>
      <c r="K39" s="39">
        <f t="shared" ref="K39" si="6">J39*I39</f>
        <v>24</v>
      </c>
      <c r="L39" s="58" t="str">
        <f>IF(J39&lt;9,"A",IF(J39&lt;15,"B",IF(J39&lt;19,"C")))</f>
        <v>B</v>
      </c>
      <c r="M39" s="58" t="str">
        <f t="shared" si="0"/>
        <v>A</v>
      </c>
    </row>
    <row r="40" spans="1:13" s="1" customForma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2"/>
      <c r="M40" s="58"/>
    </row>
    <row r="41" spans="1:13" s="1" customFormat="1" x14ac:dyDescent="0.3">
      <c r="A41" s="89" t="s">
        <v>11</v>
      </c>
      <c r="B41" s="31" t="s">
        <v>108</v>
      </c>
      <c r="C41" s="9">
        <v>2</v>
      </c>
      <c r="D41" s="9">
        <v>2</v>
      </c>
      <c r="E41" s="9">
        <v>1</v>
      </c>
      <c r="F41" s="9">
        <v>1</v>
      </c>
      <c r="G41" s="9">
        <v>1</v>
      </c>
      <c r="H41" s="40">
        <v>2</v>
      </c>
      <c r="I41" s="40">
        <v>2</v>
      </c>
      <c r="J41" s="39">
        <f>SUM(C41:I41)</f>
        <v>11</v>
      </c>
      <c r="K41" s="39">
        <f>J41*I41</f>
        <v>22</v>
      </c>
      <c r="L41" s="58" t="str">
        <f>IF(J41&lt;9,"A",IF(J41&lt;15,"B",IF(J41&lt;19,"C")))</f>
        <v>B</v>
      </c>
      <c r="M41" s="58" t="str">
        <f t="shared" si="0"/>
        <v>A</v>
      </c>
    </row>
    <row r="42" spans="1:13" s="1" customFormat="1" x14ac:dyDescent="0.3">
      <c r="A42" s="89"/>
      <c r="B42" s="31" t="s">
        <v>73</v>
      </c>
      <c r="C42" s="9">
        <v>2</v>
      </c>
      <c r="D42" s="9">
        <v>2</v>
      </c>
      <c r="E42" s="9">
        <v>1</v>
      </c>
      <c r="F42" s="9">
        <v>1</v>
      </c>
      <c r="G42" s="9">
        <v>2</v>
      </c>
      <c r="H42" s="9">
        <v>2</v>
      </c>
      <c r="I42" s="9">
        <v>2</v>
      </c>
      <c r="J42" s="39">
        <f>SUM(C42:I42)</f>
        <v>12</v>
      </c>
      <c r="K42" s="39">
        <f>J42*I42</f>
        <v>24</v>
      </c>
      <c r="L42" s="58" t="str">
        <f t="shared" ref="L42:L73" si="7">IF(J42&lt;9,"A",IF(J42&lt;15,"B",IF(J42&lt;19,"C")))</f>
        <v>B</v>
      </c>
      <c r="M42" s="58" t="str">
        <f t="shared" si="0"/>
        <v>A</v>
      </c>
    </row>
    <row r="43" spans="1:13" s="1" customFormat="1" x14ac:dyDescent="0.3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2"/>
      <c r="M43" s="58"/>
    </row>
    <row r="44" spans="1:13" s="1" customFormat="1" x14ac:dyDescent="0.3">
      <c r="A44" s="117" t="s">
        <v>12</v>
      </c>
      <c r="B44" s="31" t="s">
        <v>108</v>
      </c>
      <c r="C44" s="9">
        <v>2</v>
      </c>
      <c r="D44" s="9">
        <v>2</v>
      </c>
      <c r="E44" s="9">
        <v>1</v>
      </c>
      <c r="F44" s="9">
        <v>1</v>
      </c>
      <c r="G44" s="9">
        <v>1</v>
      </c>
      <c r="H44" s="9">
        <v>2</v>
      </c>
      <c r="I44" s="9">
        <v>2</v>
      </c>
      <c r="J44" s="39">
        <f>SUM(C44:I44)</f>
        <v>11</v>
      </c>
      <c r="K44" s="39">
        <f>J44*I44</f>
        <v>22</v>
      </c>
      <c r="L44" s="58" t="str">
        <f t="shared" si="7"/>
        <v>B</v>
      </c>
      <c r="M44" s="58" t="str">
        <f t="shared" si="0"/>
        <v>A</v>
      </c>
    </row>
    <row r="45" spans="1:13" s="1" customFormat="1" x14ac:dyDescent="0.3">
      <c r="A45" s="118"/>
      <c r="B45" s="31" t="s">
        <v>43</v>
      </c>
      <c r="C45" s="9">
        <v>2</v>
      </c>
      <c r="D45" s="9">
        <v>3</v>
      </c>
      <c r="E45" s="9">
        <v>1</v>
      </c>
      <c r="F45" s="9">
        <v>1</v>
      </c>
      <c r="G45" s="9">
        <v>1</v>
      </c>
      <c r="H45" s="9">
        <v>2</v>
      </c>
      <c r="I45" s="9">
        <v>2</v>
      </c>
      <c r="J45" s="39">
        <f>SUM(C45:I45)</f>
        <v>12</v>
      </c>
      <c r="K45" s="39">
        <f t="shared" ref="K45:K47" si="8">J45*I45</f>
        <v>24</v>
      </c>
      <c r="L45" s="58" t="str">
        <f t="shared" si="7"/>
        <v>B</v>
      </c>
      <c r="M45" s="58" t="str">
        <f t="shared" si="0"/>
        <v>A</v>
      </c>
    </row>
    <row r="46" spans="1:13" s="1" customFormat="1" x14ac:dyDescent="0.3">
      <c r="A46" s="118"/>
      <c r="B46" s="50" t="s">
        <v>77</v>
      </c>
      <c r="C46" s="9">
        <v>2</v>
      </c>
      <c r="D46" s="9">
        <v>2</v>
      </c>
      <c r="E46" s="9">
        <v>1</v>
      </c>
      <c r="F46" s="9">
        <v>1</v>
      </c>
      <c r="G46" s="9">
        <v>1</v>
      </c>
      <c r="H46" s="9">
        <v>2</v>
      </c>
      <c r="I46" s="9">
        <v>2</v>
      </c>
      <c r="J46" s="39">
        <f>SUM(C46:I46)</f>
        <v>11</v>
      </c>
      <c r="K46" s="39">
        <f t="shared" si="8"/>
        <v>22</v>
      </c>
      <c r="L46" s="58" t="str">
        <f t="shared" ref="L46" si="9">IF(J46&lt;9,"A",IF(J46&lt;15,"B",IF(J46&lt;19,"C")))</f>
        <v>B</v>
      </c>
      <c r="M46" s="58" t="str">
        <f t="shared" si="0"/>
        <v>A</v>
      </c>
    </row>
    <row r="47" spans="1:13" s="1" customFormat="1" x14ac:dyDescent="0.3">
      <c r="A47" s="119"/>
      <c r="B47" s="46" t="s">
        <v>100</v>
      </c>
      <c r="C47" s="9">
        <v>1</v>
      </c>
      <c r="D47" s="9">
        <v>1</v>
      </c>
      <c r="E47" s="9">
        <v>2</v>
      </c>
      <c r="F47" s="9">
        <v>1</v>
      </c>
      <c r="G47" s="9">
        <v>1</v>
      </c>
      <c r="H47" s="9">
        <v>2</v>
      </c>
      <c r="I47" s="9">
        <v>3</v>
      </c>
      <c r="J47" s="39">
        <f>SUM(C47:H47)</f>
        <v>8</v>
      </c>
      <c r="K47" s="39">
        <f t="shared" si="8"/>
        <v>24</v>
      </c>
      <c r="L47" s="58" t="str">
        <f t="shared" si="7"/>
        <v>A</v>
      </c>
      <c r="M47" s="58" t="str">
        <f t="shared" si="0"/>
        <v>A</v>
      </c>
    </row>
    <row r="48" spans="1:13" s="1" customFormat="1" x14ac:dyDescent="0.3">
      <c r="A48" s="90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2"/>
      <c r="M48" s="58"/>
    </row>
    <row r="49" spans="1:13" s="1" customFormat="1" x14ac:dyDescent="0.3">
      <c r="A49" s="84" t="s">
        <v>13</v>
      </c>
      <c r="B49" s="31" t="s">
        <v>61</v>
      </c>
      <c r="C49" s="9">
        <v>2</v>
      </c>
      <c r="D49" s="9">
        <v>2</v>
      </c>
      <c r="E49" s="9">
        <v>2</v>
      </c>
      <c r="F49" s="9">
        <v>1</v>
      </c>
      <c r="G49" s="9">
        <v>1</v>
      </c>
      <c r="H49" s="9">
        <v>3</v>
      </c>
      <c r="I49" s="9">
        <v>2</v>
      </c>
      <c r="J49" s="39">
        <f>SUM(C49:I49)</f>
        <v>13</v>
      </c>
      <c r="K49" s="39">
        <f>J49*I49</f>
        <v>26</v>
      </c>
      <c r="L49" s="58" t="str">
        <f t="shared" si="7"/>
        <v>B</v>
      </c>
      <c r="M49" s="58" t="str">
        <f t="shared" si="0"/>
        <v>A</v>
      </c>
    </row>
    <row r="50" spans="1:13" s="1" customFormat="1" x14ac:dyDescent="0.3">
      <c r="A50" s="90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2"/>
      <c r="M50" s="58"/>
    </row>
    <row r="51" spans="1:13" s="1" customFormat="1" x14ac:dyDescent="0.3">
      <c r="A51" s="93" t="s">
        <v>20</v>
      </c>
      <c r="B51" s="32" t="s">
        <v>62</v>
      </c>
      <c r="C51" s="9"/>
      <c r="D51" s="9"/>
      <c r="E51" s="9"/>
      <c r="F51" s="9"/>
      <c r="G51" s="9"/>
      <c r="H51" s="38"/>
      <c r="I51" s="38"/>
      <c r="J51" s="39">
        <f t="shared" ref="J51:J73" si="10">SUM(C51:H51)</f>
        <v>0</v>
      </c>
      <c r="K51" s="39">
        <f>J51*I51</f>
        <v>0</v>
      </c>
      <c r="L51" s="58" t="str">
        <f t="shared" si="7"/>
        <v>A</v>
      </c>
      <c r="M51" s="58" t="str">
        <f t="shared" si="0"/>
        <v>C</v>
      </c>
    </row>
    <row r="52" spans="1:13" s="1" customFormat="1" x14ac:dyDescent="0.3">
      <c r="A52" s="93"/>
      <c r="B52" s="32"/>
      <c r="C52" s="9"/>
      <c r="D52" s="9"/>
      <c r="E52" s="9"/>
      <c r="F52" s="9"/>
      <c r="G52" s="9"/>
      <c r="H52" s="9"/>
      <c r="I52" s="9"/>
      <c r="J52" s="39">
        <f t="shared" si="10"/>
        <v>0</v>
      </c>
      <c r="K52" s="39">
        <f>J52*I52</f>
        <v>0</v>
      </c>
      <c r="L52" s="58" t="str">
        <f t="shared" si="7"/>
        <v>A</v>
      </c>
      <c r="M52" s="58" t="str">
        <f t="shared" si="0"/>
        <v>C</v>
      </c>
    </row>
    <row r="53" spans="1:13" s="1" customFormat="1" ht="18.75" customHeight="1" x14ac:dyDescent="0.3">
      <c r="A53" s="94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6"/>
      <c r="M53" s="58"/>
    </row>
    <row r="54" spans="1:13" s="1" customFormat="1" ht="18.75" customHeight="1" x14ac:dyDescent="0.3">
      <c r="A54" s="89" t="s">
        <v>14</v>
      </c>
      <c r="B54" s="31" t="s">
        <v>63</v>
      </c>
      <c r="C54" s="9">
        <v>1</v>
      </c>
      <c r="D54" s="9">
        <v>1</v>
      </c>
      <c r="E54" s="9">
        <v>1</v>
      </c>
      <c r="F54" s="9">
        <v>1</v>
      </c>
      <c r="G54" s="9">
        <v>1</v>
      </c>
      <c r="H54" s="43">
        <v>3</v>
      </c>
      <c r="I54" s="43">
        <v>2</v>
      </c>
      <c r="J54" s="39">
        <f>SUM(C54:I54)</f>
        <v>10</v>
      </c>
      <c r="K54" s="39">
        <f>J54*I54</f>
        <v>20</v>
      </c>
      <c r="L54" s="58" t="str">
        <f t="shared" si="7"/>
        <v>B</v>
      </c>
      <c r="M54" s="58" t="str">
        <f t="shared" si="0"/>
        <v>A</v>
      </c>
    </row>
    <row r="55" spans="1:13" s="1" customFormat="1" x14ac:dyDescent="0.3">
      <c r="A55" s="89"/>
      <c r="B55" s="31" t="s">
        <v>109</v>
      </c>
      <c r="C55" s="9">
        <v>2</v>
      </c>
      <c r="D55" s="9">
        <v>2</v>
      </c>
      <c r="E55" s="9">
        <v>1</v>
      </c>
      <c r="F55" s="9">
        <v>1</v>
      </c>
      <c r="G55" s="9">
        <v>1</v>
      </c>
      <c r="H55" s="9">
        <v>3</v>
      </c>
      <c r="I55" s="9">
        <v>2</v>
      </c>
      <c r="J55" s="39">
        <f>SUM(C55:I55)</f>
        <v>12</v>
      </c>
      <c r="K55" s="39">
        <f>J55*I55</f>
        <v>24</v>
      </c>
      <c r="L55" s="58" t="str">
        <f t="shared" si="7"/>
        <v>B</v>
      </c>
      <c r="M55" s="58" t="str">
        <f t="shared" si="0"/>
        <v>A</v>
      </c>
    </row>
    <row r="56" spans="1:13" s="1" customFormat="1" x14ac:dyDescent="0.3">
      <c r="A56" s="90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2"/>
      <c r="M56" s="58"/>
    </row>
    <row r="57" spans="1:13" s="1" customFormat="1" x14ac:dyDescent="0.3">
      <c r="A57" s="93" t="s">
        <v>21</v>
      </c>
      <c r="B57" s="32" t="s">
        <v>64</v>
      </c>
      <c r="C57" s="9">
        <v>1</v>
      </c>
      <c r="D57" s="9">
        <v>2</v>
      </c>
      <c r="E57" s="9">
        <v>1</v>
      </c>
      <c r="F57" s="9">
        <v>1</v>
      </c>
      <c r="G57" s="9">
        <v>1</v>
      </c>
      <c r="H57" s="43">
        <v>2</v>
      </c>
      <c r="I57" s="43">
        <v>2</v>
      </c>
      <c r="J57" s="39">
        <f>SUM(C57:I57)</f>
        <v>10</v>
      </c>
      <c r="K57" s="39">
        <f>J57*I57</f>
        <v>20</v>
      </c>
      <c r="L57" s="58" t="str">
        <f t="shared" si="7"/>
        <v>B</v>
      </c>
      <c r="M57" s="58" t="str">
        <f t="shared" si="0"/>
        <v>A</v>
      </c>
    </row>
    <row r="58" spans="1:13" s="1" customFormat="1" x14ac:dyDescent="0.3">
      <c r="A58" s="93"/>
      <c r="B58" s="32"/>
      <c r="C58" s="9"/>
      <c r="D58" s="9"/>
      <c r="E58" s="9"/>
      <c r="F58" s="9"/>
      <c r="G58" s="9"/>
      <c r="H58" s="9"/>
      <c r="I58" s="9"/>
      <c r="J58" s="39">
        <f t="shared" si="10"/>
        <v>0</v>
      </c>
      <c r="K58" s="39">
        <f>J58*I58</f>
        <v>0</v>
      </c>
      <c r="L58" s="58" t="str">
        <f t="shared" si="7"/>
        <v>A</v>
      </c>
      <c r="M58" s="58" t="str">
        <f t="shared" si="0"/>
        <v>C</v>
      </c>
    </row>
    <row r="59" spans="1:13" s="1" customFormat="1" x14ac:dyDescent="0.3">
      <c r="A59" s="94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6"/>
      <c r="M59" s="58"/>
    </row>
    <row r="60" spans="1:13" s="1" customFormat="1" x14ac:dyDescent="0.3">
      <c r="A60" s="97" t="s">
        <v>15</v>
      </c>
      <c r="B60" s="31" t="s">
        <v>74</v>
      </c>
      <c r="C60" s="9">
        <v>1</v>
      </c>
      <c r="D60" s="9">
        <v>1</v>
      </c>
      <c r="E60" s="9">
        <v>2</v>
      </c>
      <c r="F60" s="9">
        <v>1</v>
      </c>
      <c r="G60" s="9">
        <v>1</v>
      </c>
      <c r="H60" s="40">
        <v>2</v>
      </c>
      <c r="I60" s="40">
        <v>3</v>
      </c>
      <c r="J60" s="39">
        <f>SUM(C60:H60)</f>
        <v>8</v>
      </c>
      <c r="K60" s="39">
        <f t="shared" ref="K60:K61" si="11">J60*I60</f>
        <v>24</v>
      </c>
      <c r="L60" s="58" t="str">
        <f t="shared" si="7"/>
        <v>A</v>
      </c>
      <c r="M60" s="58" t="str">
        <f t="shared" si="0"/>
        <v>A</v>
      </c>
    </row>
    <row r="61" spans="1:13" s="1" customFormat="1" x14ac:dyDescent="0.3">
      <c r="A61" s="98"/>
      <c r="B61" s="31" t="s">
        <v>110</v>
      </c>
      <c r="C61" s="9">
        <v>2</v>
      </c>
      <c r="D61" s="9">
        <v>3</v>
      </c>
      <c r="E61" s="9">
        <v>1</v>
      </c>
      <c r="F61" s="9">
        <v>1</v>
      </c>
      <c r="G61" s="9">
        <v>1</v>
      </c>
      <c r="H61" s="9">
        <v>2</v>
      </c>
      <c r="I61" s="9">
        <v>2</v>
      </c>
      <c r="J61" s="39">
        <f>SUM(C61:I61)</f>
        <v>12</v>
      </c>
      <c r="K61" s="39">
        <f t="shared" si="11"/>
        <v>24</v>
      </c>
      <c r="L61" s="58" t="str">
        <f t="shared" si="7"/>
        <v>B</v>
      </c>
      <c r="M61" s="58" t="str">
        <f t="shared" si="0"/>
        <v>A</v>
      </c>
    </row>
    <row r="62" spans="1:13" s="1" customFormat="1" x14ac:dyDescent="0.3">
      <c r="A62" s="90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2"/>
      <c r="M62" s="58"/>
    </row>
    <row r="63" spans="1:13" s="1" customFormat="1" x14ac:dyDescent="0.3">
      <c r="A63" s="89" t="s">
        <v>16</v>
      </c>
      <c r="B63" s="31" t="s">
        <v>65</v>
      </c>
      <c r="C63" s="9">
        <v>2</v>
      </c>
      <c r="D63" s="9">
        <v>2</v>
      </c>
      <c r="E63" s="9">
        <v>1</v>
      </c>
      <c r="F63" s="9">
        <v>1</v>
      </c>
      <c r="G63" s="9">
        <v>1</v>
      </c>
      <c r="H63" s="40">
        <v>2</v>
      </c>
      <c r="I63" s="40">
        <v>2</v>
      </c>
      <c r="J63" s="39">
        <f>SUM(C63:I63)</f>
        <v>11</v>
      </c>
      <c r="K63" s="39">
        <f>J63*I63</f>
        <v>22</v>
      </c>
      <c r="L63" s="58" t="str">
        <f t="shared" si="7"/>
        <v>B</v>
      </c>
      <c r="M63" s="58" t="str">
        <f t="shared" si="0"/>
        <v>A</v>
      </c>
    </row>
    <row r="64" spans="1:13" s="1" customFormat="1" x14ac:dyDescent="0.3">
      <c r="A64" s="89"/>
      <c r="B64" s="54" t="s">
        <v>111</v>
      </c>
      <c r="C64" s="9">
        <v>1</v>
      </c>
      <c r="D64" s="9">
        <v>2</v>
      </c>
      <c r="E64" s="9">
        <v>1</v>
      </c>
      <c r="F64" s="9">
        <v>1</v>
      </c>
      <c r="G64" s="9">
        <v>1</v>
      </c>
      <c r="H64" s="40">
        <v>2</v>
      </c>
      <c r="I64" s="40">
        <v>2</v>
      </c>
      <c r="J64" s="39">
        <f>SUM(C64:I64)</f>
        <v>10</v>
      </c>
      <c r="K64" s="39"/>
      <c r="L64" s="58" t="str">
        <f t="shared" si="7"/>
        <v>B</v>
      </c>
      <c r="M64" s="58" t="s">
        <v>28</v>
      </c>
    </row>
    <row r="65" spans="1:13" s="1" customFormat="1" x14ac:dyDescent="0.3">
      <c r="A65" s="89"/>
      <c r="B65" s="54" t="s">
        <v>112</v>
      </c>
      <c r="C65" s="9">
        <v>2</v>
      </c>
      <c r="D65" s="9">
        <v>2</v>
      </c>
      <c r="E65" s="9">
        <v>1</v>
      </c>
      <c r="F65" s="9">
        <v>1</v>
      </c>
      <c r="G65" s="9">
        <v>1</v>
      </c>
      <c r="H65" s="40">
        <v>2</v>
      </c>
      <c r="I65" s="40">
        <v>2</v>
      </c>
      <c r="J65" s="39">
        <f>SUM(C65:I65)</f>
        <v>11</v>
      </c>
      <c r="K65" s="39"/>
      <c r="L65" s="58" t="str">
        <f t="shared" si="7"/>
        <v>B</v>
      </c>
      <c r="M65" s="58" t="s">
        <v>28</v>
      </c>
    </row>
    <row r="66" spans="1:13" s="1" customFormat="1" x14ac:dyDescent="0.3">
      <c r="A66" s="89"/>
      <c r="B66" s="54"/>
      <c r="C66" s="9"/>
      <c r="D66" s="9"/>
      <c r="E66" s="9"/>
      <c r="F66" s="9"/>
      <c r="G66" s="9"/>
      <c r="H66" s="40"/>
      <c r="I66" s="40"/>
      <c r="J66" s="39">
        <f t="shared" si="10"/>
        <v>0</v>
      </c>
      <c r="K66" s="39"/>
      <c r="L66" s="58" t="str">
        <f t="shared" si="7"/>
        <v>A</v>
      </c>
      <c r="M66" s="58" t="str">
        <f t="shared" si="0"/>
        <v>C</v>
      </c>
    </row>
    <row r="67" spans="1:13" s="1" customFormat="1" x14ac:dyDescent="0.3">
      <c r="A67" s="89"/>
      <c r="B67" s="31" t="s">
        <v>61</v>
      </c>
      <c r="C67" s="9">
        <v>1</v>
      </c>
      <c r="D67" s="9">
        <v>2</v>
      </c>
      <c r="E67" s="9">
        <v>2</v>
      </c>
      <c r="F67" s="9">
        <v>1</v>
      </c>
      <c r="G67" s="9">
        <v>1</v>
      </c>
      <c r="H67" s="9">
        <v>3</v>
      </c>
      <c r="I67" s="9">
        <v>2</v>
      </c>
      <c r="J67" s="39">
        <f>SUM(C67:I67)</f>
        <v>12</v>
      </c>
      <c r="K67" s="39">
        <f>J67*I67</f>
        <v>24</v>
      </c>
      <c r="L67" s="58" t="str">
        <f t="shared" si="7"/>
        <v>B</v>
      </c>
      <c r="M67" s="58" t="str">
        <f t="shared" si="0"/>
        <v>A</v>
      </c>
    </row>
    <row r="68" spans="1:13" s="1" customFormat="1" x14ac:dyDescent="0.3">
      <c r="A68" s="66"/>
      <c r="B68" s="67"/>
      <c r="C68" s="53"/>
      <c r="D68" s="53"/>
      <c r="E68" s="53"/>
      <c r="F68" s="53"/>
      <c r="G68" s="53"/>
      <c r="H68" s="53"/>
      <c r="I68" s="53"/>
      <c r="J68" s="53"/>
      <c r="K68" s="67"/>
      <c r="L68" s="68"/>
      <c r="M68" s="58"/>
    </row>
    <row r="69" spans="1:13" s="1" customFormat="1" x14ac:dyDescent="0.3">
      <c r="A69" s="89" t="s">
        <v>17</v>
      </c>
      <c r="B69" s="31" t="s">
        <v>67</v>
      </c>
      <c r="C69" s="9">
        <v>1</v>
      </c>
      <c r="D69" s="9">
        <v>2</v>
      </c>
      <c r="E69" s="9">
        <v>2</v>
      </c>
      <c r="F69" s="9">
        <v>1</v>
      </c>
      <c r="G69" s="9">
        <v>1</v>
      </c>
      <c r="H69" s="43">
        <v>1</v>
      </c>
      <c r="I69" s="81">
        <v>2</v>
      </c>
      <c r="J69" s="39">
        <f>SUM(C69:H69)</f>
        <v>8</v>
      </c>
      <c r="K69" s="39">
        <f>J69*I69</f>
        <v>16</v>
      </c>
      <c r="L69" s="58" t="str">
        <f t="shared" si="7"/>
        <v>A</v>
      </c>
      <c r="M69" s="58" t="str">
        <f t="shared" si="0"/>
        <v>B</v>
      </c>
    </row>
    <row r="70" spans="1:13" s="1" customFormat="1" x14ac:dyDescent="0.3">
      <c r="A70" s="89"/>
      <c r="B70" s="31" t="s">
        <v>66</v>
      </c>
      <c r="C70" s="9">
        <v>2</v>
      </c>
      <c r="D70" s="9">
        <v>1</v>
      </c>
      <c r="E70" s="9">
        <v>2</v>
      </c>
      <c r="F70" s="9">
        <v>1</v>
      </c>
      <c r="G70" s="9">
        <v>1</v>
      </c>
      <c r="H70" s="42">
        <v>1</v>
      </c>
      <c r="I70" s="79">
        <v>2</v>
      </c>
      <c r="J70" s="39">
        <f>SUM(C70:H70)</f>
        <v>8</v>
      </c>
      <c r="K70" s="39">
        <f>J70*I70</f>
        <v>16</v>
      </c>
      <c r="L70" s="58" t="str">
        <f t="shared" si="7"/>
        <v>A</v>
      </c>
      <c r="M70" s="58" t="str">
        <f t="shared" si="0"/>
        <v>B</v>
      </c>
    </row>
    <row r="71" spans="1:13" s="1" customFormat="1" x14ac:dyDescent="0.3">
      <c r="A71" s="90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2"/>
      <c r="M71" s="58"/>
    </row>
    <row r="72" spans="1:13" s="1" customFormat="1" x14ac:dyDescent="0.3">
      <c r="A72" s="93" t="s">
        <v>18</v>
      </c>
      <c r="B72" s="31" t="s">
        <v>66</v>
      </c>
      <c r="C72" s="9"/>
      <c r="D72" s="9"/>
      <c r="E72" s="9" t="s">
        <v>72</v>
      </c>
      <c r="F72" s="9"/>
      <c r="G72" s="9"/>
      <c r="H72" s="43"/>
      <c r="I72" s="43"/>
      <c r="J72" s="39">
        <f t="shared" si="10"/>
        <v>0</v>
      </c>
      <c r="K72" s="39">
        <f>J72*I72</f>
        <v>0</v>
      </c>
      <c r="L72" s="58" t="str">
        <f t="shared" si="7"/>
        <v>A</v>
      </c>
      <c r="M72" s="58" t="str">
        <f t="shared" si="0"/>
        <v>C</v>
      </c>
    </row>
    <row r="73" spans="1:13" s="1" customFormat="1" x14ac:dyDescent="0.3">
      <c r="A73" s="93"/>
      <c r="B73" s="31" t="s">
        <v>68</v>
      </c>
      <c r="C73" s="9"/>
      <c r="D73" s="9"/>
      <c r="E73" s="9" t="s">
        <v>72</v>
      </c>
      <c r="F73" s="9"/>
      <c r="G73" s="9"/>
      <c r="H73" s="41"/>
      <c r="I73" s="41"/>
      <c r="J73" s="39">
        <f t="shared" si="10"/>
        <v>0</v>
      </c>
      <c r="K73" s="39">
        <f>J73*I73</f>
        <v>0</v>
      </c>
      <c r="L73" s="58" t="str">
        <f t="shared" si="7"/>
        <v>A</v>
      </c>
      <c r="M73" s="58" t="str">
        <f t="shared" si="0"/>
        <v>C</v>
      </c>
    </row>
    <row r="74" spans="1:13" s="1" customForma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3"/>
      <c r="K74" s="3"/>
      <c r="L74" s="59"/>
    </row>
    <row r="75" spans="1:13" s="1" customFormat="1" x14ac:dyDescent="0.3">
      <c r="A75" s="14"/>
      <c r="B75" s="14"/>
      <c r="C75" s="12"/>
      <c r="D75" s="12"/>
      <c r="E75" s="12"/>
      <c r="F75" s="12"/>
      <c r="G75" s="12"/>
      <c r="H75" s="12"/>
      <c r="I75" s="12"/>
      <c r="J75" s="3"/>
      <c r="K75" s="3"/>
      <c r="L75" s="59"/>
    </row>
    <row r="76" spans="1:13" s="1" customFormat="1" x14ac:dyDescent="0.3">
      <c r="A76" s="14"/>
      <c r="B76" s="14"/>
      <c r="C76" s="12"/>
      <c r="D76" s="12"/>
      <c r="E76" s="12"/>
      <c r="F76" s="12"/>
      <c r="G76" s="12"/>
      <c r="H76" s="12"/>
      <c r="I76" s="12"/>
      <c r="J76" s="3"/>
      <c r="K76" s="3"/>
      <c r="L76" s="59"/>
    </row>
    <row r="77" spans="1:13" s="1" customFormat="1" x14ac:dyDescent="0.3">
      <c r="A77" s="14"/>
      <c r="B77" s="14"/>
      <c r="C77" s="12"/>
      <c r="D77" s="12"/>
      <c r="E77" s="12"/>
      <c r="F77" s="12"/>
      <c r="G77" s="12"/>
      <c r="H77" s="12"/>
      <c r="I77" s="12"/>
      <c r="J77" s="3"/>
      <c r="K77" s="3"/>
      <c r="L77" s="59"/>
    </row>
    <row r="78" spans="1:13" s="1" customFormat="1" x14ac:dyDescent="0.3">
      <c r="A78" s="14"/>
      <c r="B78" s="14"/>
      <c r="C78" s="12"/>
      <c r="D78" s="12"/>
      <c r="E78" s="12"/>
      <c r="F78" s="12"/>
      <c r="G78" s="12"/>
      <c r="H78" s="12"/>
      <c r="I78" s="12"/>
      <c r="J78" s="3"/>
      <c r="K78" s="3"/>
      <c r="L78" s="59"/>
    </row>
    <row r="79" spans="1:13" s="1" customForma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3"/>
      <c r="K79" s="3"/>
      <c r="L79" s="59"/>
    </row>
    <row r="80" spans="1:13" s="1" customForma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3"/>
      <c r="K80" s="3"/>
      <c r="L80" s="59"/>
    </row>
    <row r="81" spans="1:12" s="1" customFormat="1" x14ac:dyDescent="0.3">
      <c r="A81" s="2"/>
      <c r="B81" s="2"/>
      <c r="C81" s="12"/>
      <c r="D81" s="12"/>
      <c r="E81" s="12"/>
      <c r="F81" s="12"/>
      <c r="G81" s="12"/>
      <c r="H81" s="12"/>
      <c r="I81" s="12"/>
      <c r="J81" s="3"/>
      <c r="K81" s="3"/>
      <c r="L81" s="57"/>
    </row>
    <row r="82" spans="1:12" s="1" customFormat="1" x14ac:dyDescent="0.3">
      <c r="A82" s="2"/>
      <c r="B82" s="2"/>
      <c r="C82" s="12"/>
      <c r="D82" s="12"/>
      <c r="E82" s="12"/>
      <c r="F82" s="12"/>
      <c r="G82" s="12"/>
      <c r="H82" s="12"/>
      <c r="I82" s="12"/>
      <c r="J82" s="3"/>
      <c r="K82" s="3"/>
      <c r="L82" s="57"/>
    </row>
    <row r="110" spans="1:9" x14ac:dyDescent="0.3">
      <c r="A110" s="4"/>
      <c r="B110" s="4"/>
      <c r="C110" s="88"/>
      <c r="D110" s="88"/>
      <c r="E110" s="88"/>
      <c r="F110" s="88"/>
      <c r="G110" s="88"/>
      <c r="H110" s="88"/>
      <c r="I110" s="88"/>
    </row>
    <row r="111" spans="1:9" x14ac:dyDescent="0.3">
      <c r="A111" s="4"/>
      <c r="B111" s="4"/>
      <c r="C111" s="88"/>
      <c r="D111" s="88"/>
      <c r="E111" s="88"/>
      <c r="F111" s="88"/>
      <c r="G111" s="88"/>
      <c r="H111" s="88"/>
      <c r="I111" s="88"/>
    </row>
    <row r="112" spans="1:9" x14ac:dyDescent="0.3">
      <c r="A112" s="4"/>
      <c r="B112" s="4"/>
      <c r="C112" s="88"/>
      <c r="D112" s="88"/>
      <c r="E112" s="88"/>
      <c r="F112" s="88"/>
      <c r="G112" s="88"/>
      <c r="H112" s="88"/>
      <c r="I112" s="88"/>
    </row>
  </sheetData>
  <mergeCells count="46">
    <mergeCell ref="A22:A23"/>
    <mergeCell ref="A25:A26"/>
    <mergeCell ref="A44:A47"/>
    <mergeCell ref="A35:L35"/>
    <mergeCell ref="A33:A34"/>
    <mergeCell ref="A29:L29"/>
    <mergeCell ref="A37:L37"/>
    <mergeCell ref="A24:L24"/>
    <mergeCell ref="A12:A14"/>
    <mergeCell ref="F7:G7"/>
    <mergeCell ref="C7:D7"/>
    <mergeCell ref="A9:A10"/>
    <mergeCell ref="A18:A20"/>
    <mergeCell ref="A17:L17"/>
    <mergeCell ref="L7:M8"/>
    <mergeCell ref="A1:L1"/>
    <mergeCell ref="F3:H3"/>
    <mergeCell ref="A43:L43"/>
    <mergeCell ref="A2:L2"/>
    <mergeCell ref="A40:L40"/>
    <mergeCell ref="A7:A8"/>
    <mergeCell ref="B7:B8"/>
    <mergeCell ref="J7:J8"/>
    <mergeCell ref="A11:L11"/>
    <mergeCell ref="A15:L15"/>
    <mergeCell ref="A30:A31"/>
    <mergeCell ref="A38:A39"/>
    <mergeCell ref="A21:L21"/>
    <mergeCell ref="A27:L27"/>
    <mergeCell ref="A32:L32"/>
    <mergeCell ref="A3:C3"/>
    <mergeCell ref="A41:A42"/>
    <mergeCell ref="A48:L48"/>
    <mergeCell ref="A72:A73"/>
    <mergeCell ref="A51:A52"/>
    <mergeCell ref="A54:A55"/>
    <mergeCell ref="A57:A58"/>
    <mergeCell ref="A62:L62"/>
    <mergeCell ref="A71:L71"/>
    <mergeCell ref="A56:L56"/>
    <mergeCell ref="A59:L59"/>
    <mergeCell ref="A63:A67"/>
    <mergeCell ref="A69:A70"/>
    <mergeCell ref="A53:L53"/>
    <mergeCell ref="A60:A61"/>
    <mergeCell ref="A50:L50"/>
  </mergeCells>
  <phoneticPr fontId="18" type="noConversion"/>
  <conditionalFormatting sqref="L1 L51:L52 L54:L55 L57:L58 L72:L1048576 L44:L47 L69:L70 L3:L6 L60:L61 L49 L9:L34 L36:L42 L63:L67 M9:M73">
    <cfRule type="containsText" dxfId="2" priority="6" operator="containsText" text="A">
      <formula>NOT(ISERROR(SEARCH("A",L1)))</formula>
    </cfRule>
  </conditionalFormatting>
  <conditionalFormatting sqref="L1 L51:L52 L54:L55 L57:L58 L72:L1048576 L44:L47 L69:L70 L3:L6 L60:L61 L49 L9:L34 L36:L42 L63:L67 M9:M73">
    <cfRule type="containsText" dxfId="1" priority="4" operator="containsText" text="C">
      <formula>NOT(ISERROR(SEARCH("C",L1)))</formula>
    </cfRule>
    <cfRule type="containsText" dxfId="0" priority="5" operator="containsText" text="B">
      <formula>NOT(ISERROR(SEARCH("B",L1)))</formula>
    </cfRule>
  </conditionalFormatting>
  <hyperlinks>
    <hyperlink ref="H26" r:id="rId1" display="https://www.ahlstrom-munksjo.com/sustainability/certifications/" xr:uid="{00000000-0004-0000-0000-000000000000}"/>
    <hyperlink ref="H16" r:id="rId2" display="https://www.arauco.cl/argentina/sostenibilidad/certificaciones/" xr:uid="{00000000-0004-0000-0000-000002000000}"/>
    <hyperlink ref="H18" r:id="rId3" display="http://www.kotkamills.com/en/certificates" xr:uid="{00000000-0004-0000-0000-000003000000}"/>
    <hyperlink ref="H22" r:id="rId4" display="https://www.arauco.cl/argentina/sostenibilidad/certificaciones/" xr:uid="{00000000-0004-0000-0000-000004000000}"/>
    <hyperlink ref="H25" r:id="rId5" display="https://www.mdpapeis.com.br/es/tecnologia/certificaciones/" xr:uid="{00000000-0004-0000-0000-000005000000}"/>
    <hyperlink ref="H30" r:id="rId6" display="http://www.sadepan.com.ar/nosotros-certificaciones/" xr:uid="{00000000-0004-0000-0000-000006000000}"/>
    <hyperlink ref="H70" r:id="rId7" location="environment" display="https://www.schattdecor.de/es/sobre-nosotros - environment" xr:uid="{00000000-0004-0000-0000-000008000000}"/>
  </hyperlinks>
  <pageMargins left="0.11811023622047245" right="0.11811023622047245" top="0.74803149606299213" bottom="0.74803149606299213" header="0.31496062992125984" footer="0.31496062992125984"/>
  <pageSetup paperSize="9" orientation="portrait" horizontalDpi="4294967295" verticalDpi="4294967295"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zoomScale="115" zoomScaleNormal="115" workbookViewId="0">
      <selection activeCell="C15" sqref="C15"/>
    </sheetView>
  </sheetViews>
  <sheetFormatPr baseColWidth="10" defaultRowHeight="15" x14ac:dyDescent="0.25"/>
  <cols>
    <col min="1" max="4" width="25.7109375" style="2" customWidth="1"/>
    <col min="5" max="5" width="25.7109375" customWidth="1"/>
  </cols>
  <sheetData>
    <row r="1" spans="1:12" ht="26.25" x14ac:dyDescent="0.4">
      <c r="A1" s="131"/>
      <c r="B1" s="100"/>
      <c r="C1" s="100"/>
      <c r="D1" s="100"/>
      <c r="E1" s="100"/>
      <c r="F1" s="78"/>
      <c r="G1" s="78"/>
      <c r="H1" s="78"/>
      <c r="I1" s="78"/>
      <c r="J1" s="78"/>
      <c r="K1" s="78"/>
      <c r="L1" s="78"/>
    </row>
    <row r="2" spans="1:12" ht="26.25" x14ac:dyDescent="0.4">
      <c r="A2" s="100" t="s">
        <v>44</v>
      </c>
      <c r="B2" s="100"/>
      <c r="C2" s="100"/>
      <c r="D2" s="100"/>
      <c r="E2" s="100"/>
    </row>
    <row r="3" spans="1:12" ht="26.25" x14ac:dyDescent="0.4">
      <c r="A3" s="100"/>
      <c r="B3" s="100"/>
      <c r="C3" s="100"/>
      <c r="D3" s="100"/>
      <c r="E3" s="100"/>
    </row>
    <row r="4" spans="1:12" ht="15.75" customHeight="1" x14ac:dyDescent="0.25">
      <c r="A4" s="128" t="s">
        <v>45</v>
      </c>
      <c r="B4" s="36" t="s">
        <v>49</v>
      </c>
      <c r="C4" s="37" t="s">
        <v>50</v>
      </c>
      <c r="D4" s="37" t="s">
        <v>51</v>
      </c>
      <c r="E4" s="132" t="s">
        <v>87</v>
      </c>
    </row>
    <row r="5" spans="1:12" ht="15" customHeight="1" x14ac:dyDescent="0.25">
      <c r="A5" s="128"/>
      <c r="B5" s="126" t="s">
        <v>53</v>
      </c>
      <c r="C5" s="126" t="s">
        <v>54</v>
      </c>
      <c r="D5" s="126" t="s">
        <v>52</v>
      </c>
      <c r="E5" s="132"/>
    </row>
    <row r="6" spans="1:12" ht="15" customHeight="1" x14ac:dyDescent="0.25">
      <c r="A6" s="128"/>
      <c r="B6" s="126"/>
      <c r="C6" s="126"/>
      <c r="D6" s="126"/>
      <c r="E6" s="132"/>
    </row>
    <row r="7" spans="1:12" ht="15" customHeight="1" x14ac:dyDescent="0.25">
      <c r="A7" s="128"/>
      <c r="B7" s="126"/>
      <c r="C7" s="126"/>
      <c r="D7" s="126"/>
      <c r="E7" s="132"/>
    </row>
    <row r="8" spans="1:12" ht="15" customHeight="1" x14ac:dyDescent="0.25">
      <c r="A8" s="128"/>
      <c r="B8" s="126"/>
      <c r="C8" s="126"/>
      <c r="D8" s="126"/>
      <c r="E8" s="132"/>
    </row>
    <row r="9" spans="1:12" ht="15" customHeight="1" x14ac:dyDescent="0.25">
      <c r="A9" s="138" t="s">
        <v>46</v>
      </c>
      <c r="B9" s="33" t="s">
        <v>28</v>
      </c>
      <c r="C9" s="33" t="s">
        <v>28</v>
      </c>
      <c r="D9" s="133" t="s">
        <v>95</v>
      </c>
      <c r="E9" s="133"/>
    </row>
    <row r="10" spans="1:12" ht="37.5" customHeight="1" x14ac:dyDescent="0.25">
      <c r="A10" s="138"/>
      <c r="B10" s="129" t="s">
        <v>88</v>
      </c>
      <c r="C10" s="129"/>
      <c r="D10" s="133"/>
      <c r="E10" s="133"/>
    </row>
    <row r="11" spans="1:12" ht="15.75" x14ac:dyDescent="0.25">
      <c r="A11" s="138"/>
      <c r="B11" s="34" t="s">
        <v>29</v>
      </c>
      <c r="C11" s="33" t="s">
        <v>28</v>
      </c>
      <c r="D11" s="133"/>
      <c r="E11" s="133"/>
    </row>
    <row r="12" spans="1:12" ht="52.5" customHeight="1" x14ac:dyDescent="0.25">
      <c r="A12" s="138"/>
      <c r="B12" s="127" t="s">
        <v>89</v>
      </c>
      <c r="C12" s="127"/>
      <c r="D12" s="133"/>
      <c r="E12" s="133"/>
    </row>
    <row r="13" spans="1:12" ht="15.75" x14ac:dyDescent="0.25">
      <c r="A13" s="138"/>
      <c r="B13" s="33" t="s">
        <v>28</v>
      </c>
      <c r="C13" s="34" t="s">
        <v>29</v>
      </c>
      <c r="D13" s="133"/>
      <c r="E13" s="133"/>
    </row>
    <row r="14" spans="1:12" ht="40.5" customHeight="1" x14ac:dyDescent="0.25">
      <c r="A14" s="138"/>
      <c r="B14" s="127" t="s">
        <v>90</v>
      </c>
      <c r="C14" s="127"/>
      <c r="D14" s="133"/>
      <c r="E14" s="133"/>
      <c r="F14" s="76"/>
    </row>
    <row r="15" spans="1:12" ht="16.5" customHeight="1" thickBot="1" x14ac:dyDescent="0.3">
      <c r="A15" s="138"/>
      <c r="B15" s="33" t="s">
        <v>28</v>
      </c>
      <c r="C15" s="74" t="s">
        <v>30</v>
      </c>
      <c r="D15" s="134" t="s">
        <v>98</v>
      </c>
      <c r="E15" s="134"/>
      <c r="F15" s="76"/>
    </row>
    <row r="16" spans="1:12" ht="30" customHeight="1" x14ac:dyDescent="0.25">
      <c r="A16" s="138"/>
      <c r="B16" s="127" t="s">
        <v>97</v>
      </c>
      <c r="C16" s="127"/>
      <c r="D16" s="134"/>
      <c r="E16" s="134"/>
      <c r="F16" s="77"/>
    </row>
    <row r="17" spans="1:6" ht="15.75" customHeight="1" x14ac:dyDescent="0.25">
      <c r="A17" s="138"/>
      <c r="B17" s="34" t="s">
        <v>29</v>
      </c>
      <c r="C17" s="34" t="s">
        <v>29</v>
      </c>
      <c r="D17" s="134" t="s">
        <v>96</v>
      </c>
      <c r="E17" s="134"/>
      <c r="F17" s="75"/>
    </row>
    <row r="18" spans="1:6" x14ac:dyDescent="0.25">
      <c r="A18" s="138"/>
      <c r="B18" s="127" t="s">
        <v>91</v>
      </c>
      <c r="C18" s="127"/>
      <c r="D18" s="134"/>
      <c r="E18" s="134"/>
      <c r="F18" s="76"/>
    </row>
    <row r="19" spans="1:6" ht="15.75" customHeight="1" x14ac:dyDescent="0.25">
      <c r="A19" s="138"/>
      <c r="B19" s="35" t="s">
        <v>30</v>
      </c>
      <c r="C19" s="33" t="s">
        <v>28</v>
      </c>
      <c r="D19" s="134"/>
      <c r="E19" s="134"/>
    </row>
    <row r="20" spans="1:6" ht="38.25" customHeight="1" x14ac:dyDescent="0.25">
      <c r="A20" s="138"/>
      <c r="B20" s="127" t="s">
        <v>92</v>
      </c>
      <c r="C20" s="127"/>
      <c r="D20" s="134"/>
      <c r="E20" s="134"/>
    </row>
    <row r="21" spans="1:6" ht="15.75" x14ac:dyDescent="0.25">
      <c r="A21" s="138"/>
      <c r="B21" s="74" t="s">
        <v>30</v>
      </c>
      <c r="C21" s="34" t="s">
        <v>29</v>
      </c>
      <c r="D21" s="134"/>
      <c r="E21" s="134"/>
    </row>
    <row r="22" spans="1:6" x14ac:dyDescent="0.25">
      <c r="A22" s="138"/>
      <c r="B22" s="127" t="s">
        <v>93</v>
      </c>
      <c r="C22" s="127"/>
      <c r="D22" s="134"/>
      <c r="E22" s="134"/>
    </row>
    <row r="23" spans="1:6" ht="15.75" x14ac:dyDescent="0.25">
      <c r="A23" s="138"/>
      <c r="B23" s="34" t="s">
        <v>29</v>
      </c>
      <c r="C23" s="74" t="s">
        <v>30</v>
      </c>
      <c r="D23" s="134"/>
      <c r="E23" s="134"/>
    </row>
    <row r="24" spans="1:6" x14ac:dyDescent="0.25">
      <c r="A24" s="138"/>
      <c r="B24" s="127" t="s">
        <v>93</v>
      </c>
      <c r="C24" s="127"/>
      <c r="D24" s="134"/>
      <c r="E24" s="134"/>
    </row>
    <row r="25" spans="1:6" ht="15.75" x14ac:dyDescent="0.25">
      <c r="A25" s="138"/>
      <c r="B25" s="74" t="s">
        <v>30</v>
      </c>
      <c r="C25" s="74" t="s">
        <v>30</v>
      </c>
      <c r="D25" s="134"/>
      <c r="E25" s="134"/>
    </row>
    <row r="26" spans="1:6" x14ac:dyDescent="0.25">
      <c r="A26" s="138"/>
      <c r="B26" s="137" t="s">
        <v>94</v>
      </c>
      <c r="C26" s="137"/>
      <c r="D26" s="134"/>
      <c r="E26" s="134"/>
    </row>
    <row r="27" spans="1:6" x14ac:dyDescent="0.25">
      <c r="A27" s="136"/>
      <c r="B27" s="136"/>
      <c r="C27" s="136"/>
      <c r="D27" s="136"/>
      <c r="E27" s="136"/>
    </row>
    <row r="28" spans="1:6" x14ac:dyDescent="0.25">
      <c r="A28" s="135" t="s">
        <v>55</v>
      </c>
      <c r="B28" s="135"/>
      <c r="C28" s="135"/>
      <c r="D28" s="135"/>
      <c r="E28" s="135"/>
    </row>
    <row r="29" spans="1:6" x14ac:dyDescent="0.25">
      <c r="A29" s="135"/>
      <c r="B29" s="135"/>
      <c r="C29" s="135"/>
      <c r="D29" s="135"/>
      <c r="E29" s="135"/>
    </row>
    <row r="30" spans="1:6" x14ac:dyDescent="0.25">
      <c r="A30" s="15" t="s">
        <v>22</v>
      </c>
      <c r="B30" s="10" t="s">
        <v>24</v>
      </c>
      <c r="C30" s="26" t="s">
        <v>2</v>
      </c>
      <c r="D30" s="27" t="s">
        <v>25</v>
      </c>
      <c r="E30" s="63" t="s">
        <v>84</v>
      </c>
    </row>
    <row r="31" spans="1:6" ht="25.5" x14ac:dyDescent="0.25">
      <c r="A31" s="11" t="s">
        <v>48</v>
      </c>
      <c r="B31" s="6" t="s">
        <v>23</v>
      </c>
      <c r="C31" s="8" t="s">
        <v>47</v>
      </c>
      <c r="D31" s="7" t="s">
        <v>26</v>
      </c>
      <c r="E31" s="64" t="s">
        <v>83</v>
      </c>
    </row>
    <row r="32" spans="1:6" ht="15" customHeight="1" x14ac:dyDescent="0.25">
      <c r="A32" s="124" t="s">
        <v>57</v>
      </c>
      <c r="B32" s="124" t="s">
        <v>56</v>
      </c>
      <c r="C32" s="125" t="s">
        <v>58</v>
      </c>
      <c r="D32" s="124" t="s">
        <v>59</v>
      </c>
      <c r="E32" s="130" t="s">
        <v>99</v>
      </c>
    </row>
    <row r="33" spans="1:5" x14ac:dyDescent="0.25">
      <c r="A33" s="124"/>
      <c r="B33" s="124"/>
      <c r="C33" s="125"/>
      <c r="D33" s="124"/>
      <c r="E33" s="130"/>
    </row>
    <row r="34" spans="1:5" x14ac:dyDescent="0.25">
      <c r="A34" s="124"/>
      <c r="B34" s="124"/>
      <c r="C34" s="125"/>
      <c r="D34" s="124"/>
      <c r="E34" s="130"/>
    </row>
    <row r="35" spans="1:5" x14ac:dyDescent="0.25">
      <c r="A35" s="124"/>
      <c r="B35" s="124"/>
      <c r="C35" s="125"/>
      <c r="D35" s="124"/>
      <c r="E35" s="130"/>
    </row>
    <row r="36" spans="1:5" x14ac:dyDescent="0.25">
      <c r="A36" s="124"/>
      <c r="B36" s="124"/>
      <c r="C36" s="125"/>
      <c r="D36" s="124"/>
      <c r="E36" s="130"/>
    </row>
    <row r="37" spans="1:5" x14ac:dyDescent="0.25">
      <c r="A37" s="124"/>
      <c r="B37" s="124"/>
      <c r="C37" s="125"/>
      <c r="D37" s="124"/>
      <c r="E37" s="130"/>
    </row>
    <row r="38" spans="1:5" x14ac:dyDescent="0.25">
      <c r="A38" s="124"/>
      <c r="B38" s="124"/>
      <c r="C38" s="125"/>
      <c r="D38" s="124"/>
      <c r="E38" s="130"/>
    </row>
    <row r="39" spans="1:5" x14ac:dyDescent="0.25">
      <c r="A39" s="124"/>
      <c r="B39" s="124"/>
      <c r="C39" s="125"/>
      <c r="D39" s="124"/>
      <c r="E39" s="130"/>
    </row>
    <row r="40" spans="1:5" x14ac:dyDescent="0.25">
      <c r="A40" s="124"/>
      <c r="B40" s="124"/>
      <c r="C40" s="125"/>
      <c r="D40" s="124"/>
      <c r="E40" s="130"/>
    </row>
    <row r="68" spans="1:4" x14ac:dyDescent="0.25">
      <c r="A68" s="4"/>
      <c r="B68" s="4"/>
      <c r="C68" s="4"/>
      <c r="D68" s="4"/>
    </row>
    <row r="69" spans="1:4" x14ac:dyDescent="0.25">
      <c r="A69" s="4"/>
      <c r="B69" s="4"/>
      <c r="C69" s="4"/>
      <c r="D69" s="4"/>
    </row>
    <row r="70" spans="1:4" x14ac:dyDescent="0.25">
      <c r="A70" s="4"/>
      <c r="B70" s="4"/>
      <c r="C70" s="4"/>
      <c r="D70" s="4"/>
    </row>
  </sheetData>
  <mergeCells count="28">
    <mergeCell ref="E32:E40"/>
    <mergeCell ref="A1:E1"/>
    <mergeCell ref="A2:E2"/>
    <mergeCell ref="A3:E3"/>
    <mergeCell ref="E4:E8"/>
    <mergeCell ref="D9:E14"/>
    <mergeCell ref="D15:E16"/>
    <mergeCell ref="D17:E26"/>
    <mergeCell ref="A28:E29"/>
    <mergeCell ref="A27:E27"/>
    <mergeCell ref="B26:C26"/>
    <mergeCell ref="A9:A26"/>
    <mergeCell ref="B16:C16"/>
    <mergeCell ref="B18:C18"/>
    <mergeCell ref="B20:C20"/>
    <mergeCell ref="B22:C22"/>
    <mergeCell ref="A32:A40"/>
    <mergeCell ref="D32:D40"/>
    <mergeCell ref="C32:C40"/>
    <mergeCell ref="B32:B40"/>
    <mergeCell ref="B5:B8"/>
    <mergeCell ref="C5:C8"/>
    <mergeCell ref="D5:D8"/>
    <mergeCell ref="B24:C24"/>
    <mergeCell ref="A4:A8"/>
    <mergeCell ref="B10:C10"/>
    <mergeCell ref="B12:C12"/>
    <mergeCell ref="B14:C14"/>
  </mergeCells>
  <pageMargins left="0.7" right="0.7" top="0.75" bottom="0.75" header="0.3" footer="0.3"/>
  <pageSetup paperSize="9" orientation="landscape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A479-0462-4EF0-8E1D-6F63628AB930}">
  <dimension ref="A5:I15"/>
  <sheetViews>
    <sheetView workbookViewId="0">
      <selection activeCell="G7" sqref="G7:I15"/>
    </sheetView>
  </sheetViews>
  <sheetFormatPr baseColWidth="10" defaultRowHeight="15" x14ac:dyDescent="0.25"/>
  <cols>
    <col min="2" max="2" width="2" bestFit="1" customWidth="1"/>
    <col min="3" max="4" width="2.28515625" bestFit="1" customWidth="1"/>
    <col min="5" max="6" width="2.140625" bestFit="1" customWidth="1"/>
    <col min="8" max="9" width="2.28515625" bestFit="1" customWidth="1"/>
  </cols>
  <sheetData>
    <row r="5" spans="1:9" x14ac:dyDescent="0.25">
      <c r="A5" t="s">
        <v>86</v>
      </c>
      <c r="B5">
        <v>3</v>
      </c>
      <c r="C5" t="s">
        <v>30</v>
      </c>
      <c r="D5" s="71">
        <v>3</v>
      </c>
      <c r="E5" s="72">
        <v>6</v>
      </c>
      <c r="F5" s="73">
        <v>9</v>
      </c>
    </row>
    <row r="6" spans="1:9" x14ac:dyDescent="0.25">
      <c r="B6">
        <v>2</v>
      </c>
      <c r="C6" t="s">
        <v>29</v>
      </c>
      <c r="D6" s="60">
        <v>2</v>
      </c>
      <c r="E6" s="61">
        <v>4</v>
      </c>
      <c r="F6" s="72">
        <v>6</v>
      </c>
    </row>
    <row r="7" spans="1:9" x14ac:dyDescent="0.25">
      <c r="B7">
        <v>1</v>
      </c>
      <c r="C7" t="s">
        <v>28</v>
      </c>
      <c r="D7" s="70">
        <v>1</v>
      </c>
      <c r="E7" s="60">
        <v>2</v>
      </c>
      <c r="F7" s="71">
        <v>3</v>
      </c>
      <c r="G7">
        <v>1</v>
      </c>
      <c r="H7" t="s">
        <v>28</v>
      </c>
      <c r="I7" t="s">
        <v>28</v>
      </c>
    </row>
    <row r="8" spans="1:9" x14ac:dyDescent="0.25">
      <c r="D8" t="s">
        <v>28</v>
      </c>
      <c r="E8" t="s">
        <v>29</v>
      </c>
      <c r="F8" t="s">
        <v>30</v>
      </c>
      <c r="G8">
        <v>2</v>
      </c>
      <c r="H8" t="s">
        <v>29</v>
      </c>
      <c r="I8" t="s">
        <v>28</v>
      </c>
    </row>
    <row r="9" spans="1:9" x14ac:dyDescent="0.25">
      <c r="D9" s="69">
        <v>1</v>
      </c>
      <c r="E9" s="69">
        <v>2</v>
      </c>
      <c r="F9" s="69">
        <v>3</v>
      </c>
      <c r="G9" s="69">
        <v>3</v>
      </c>
      <c r="H9" t="s">
        <v>28</v>
      </c>
      <c r="I9" t="s">
        <v>29</v>
      </c>
    </row>
    <row r="10" spans="1:9" x14ac:dyDescent="0.25">
      <c r="C10" t="s">
        <v>85</v>
      </c>
      <c r="G10">
        <v>4</v>
      </c>
      <c r="H10" t="s">
        <v>29</v>
      </c>
      <c r="I10" t="s">
        <v>29</v>
      </c>
    </row>
    <row r="11" spans="1:9" x14ac:dyDescent="0.25">
      <c r="G11">
        <v>5</v>
      </c>
      <c r="H11" t="s">
        <v>30</v>
      </c>
      <c r="I11" t="s">
        <v>28</v>
      </c>
    </row>
    <row r="12" spans="1:9" x14ac:dyDescent="0.25">
      <c r="G12">
        <v>6</v>
      </c>
      <c r="H12" t="s">
        <v>28</v>
      </c>
      <c r="I12" t="s">
        <v>30</v>
      </c>
    </row>
    <row r="13" spans="1:9" x14ac:dyDescent="0.25">
      <c r="G13">
        <v>7</v>
      </c>
      <c r="H13" t="s">
        <v>30</v>
      </c>
      <c r="I13" t="s">
        <v>29</v>
      </c>
    </row>
    <row r="14" spans="1:9" x14ac:dyDescent="0.25">
      <c r="G14">
        <v>8</v>
      </c>
      <c r="H14" t="s">
        <v>29</v>
      </c>
      <c r="I14" t="s">
        <v>30</v>
      </c>
    </row>
    <row r="15" spans="1:9" x14ac:dyDescent="0.25">
      <c r="G15">
        <v>9</v>
      </c>
      <c r="H15" t="s">
        <v>30</v>
      </c>
      <c r="I15" t="s">
        <v>30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2024-03-12T16:25:51Z</cp:lastPrinted>
  <dcterms:created xsi:type="dcterms:W3CDTF">2018-06-22T14:24:38Z</dcterms:created>
  <dcterms:modified xsi:type="dcterms:W3CDTF">2024-03-14T13:46:44Z</dcterms:modified>
</cp:coreProperties>
</file>