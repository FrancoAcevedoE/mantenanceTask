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rancoemanuelacevedo/Documents/Practica profesional/mantenanceTask/tool/public/evaluacionProveedores/"/>
    </mc:Choice>
  </mc:AlternateContent>
  <xr:revisionPtr revIDLastSave="0" documentId="8_{64CD1968-71C5-C948-B021-41622274B0EB}" xr6:coauthVersionLast="47" xr6:coauthVersionMax="47" xr10:uidLastSave="{00000000-0000-0000-0000-000000000000}"/>
  <bookViews>
    <workbookView xWindow="0" yWindow="660" windowWidth="29400" windowHeight="16500" activeTab="2" xr2:uid="{00000000-000D-0000-FFFF-FFFF00000000}"/>
  </bookViews>
  <sheets>
    <sheet name="Estructura de Perfiles" sheetId="1" r:id="rId1"/>
    <sheet name="BASE DE DATOS" sheetId="3" r:id="rId2"/>
    <sheet name="Matriz Automatizada" sheetId="2" r:id="rId3"/>
    <sheet name="CONFIG." sheetId="5" state="hidden" r:id="rId4"/>
  </sheets>
  <definedNames>
    <definedName name="_xlnm._FilterDatabase" localSheetId="2" hidden="1">'Matriz Automatizada'!$A$5:$V$974</definedName>
    <definedName name="ListaCodigos">proveedores[Código]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2" l="1"/>
  <c r="E69" i="2" l="1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D50" i="2"/>
  <c r="D47" i="2"/>
  <c r="D58" i="2"/>
  <c r="D44" i="2"/>
  <c r="D57" i="2"/>
  <c r="D49" i="2"/>
  <c r="D46" i="2"/>
  <c r="D31" i="2"/>
  <c r="D27" i="2"/>
  <c r="D34" i="2"/>
  <c r="D33" i="2"/>
  <c r="D32" i="2"/>
  <c r="D26" i="2"/>
  <c r="D38" i="2"/>
  <c r="D40" i="2"/>
  <c r="D55" i="2"/>
  <c r="D18" i="2"/>
  <c r="D17" i="2"/>
  <c r="D25" i="2"/>
  <c r="D24" i="2"/>
  <c r="D41" i="2"/>
  <c r="D56" i="2"/>
  <c r="D19" i="2"/>
  <c r="D23" i="2"/>
  <c r="D52" i="2"/>
  <c r="D59" i="2"/>
  <c r="D9" i="2"/>
  <c r="D68" i="2"/>
  <c r="D66" i="2"/>
  <c r="D67" i="2"/>
  <c r="D54" i="2"/>
  <c r="D51" i="2"/>
  <c r="D7" i="2"/>
  <c r="D28" i="2"/>
  <c r="D37" i="2"/>
  <c r="D36" i="2"/>
  <c r="D30" i="2"/>
  <c r="D35" i="2"/>
  <c r="D29" i="2"/>
  <c r="D22" i="2"/>
  <c r="D13" i="2"/>
  <c r="D11" i="2"/>
  <c r="D15" i="2"/>
  <c r="D16" i="2"/>
  <c r="D10" i="2"/>
  <c r="D8" i="2"/>
  <c r="D6" i="2"/>
  <c r="D21" i="2"/>
  <c r="D20" i="2"/>
  <c r="D53" i="2"/>
  <c r="D43" i="2"/>
  <c r="D45" i="2"/>
  <c r="D42" i="2"/>
  <c r="D39" i="2"/>
  <c r="D12" i="2"/>
  <c r="D14" i="2"/>
  <c r="D64" i="2"/>
  <c r="D63" i="2"/>
  <c r="D61" i="2"/>
  <c r="D65" i="2"/>
  <c r="D62" i="2"/>
  <c r="D60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C50" i="2"/>
  <c r="C47" i="2"/>
  <c r="C58" i="2"/>
  <c r="C44" i="2"/>
  <c r="C57" i="2"/>
  <c r="C49" i="2"/>
  <c r="C46" i="2"/>
  <c r="C31" i="2"/>
  <c r="C27" i="2"/>
  <c r="C34" i="2"/>
  <c r="C33" i="2"/>
  <c r="C32" i="2"/>
  <c r="C26" i="2"/>
  <c r="C38" i="2"/>
  <c r="C40" i="2"/>
  <c r="C55" i="2"/>
  <c r="C18" i="2"/>
  <c r="C17" i="2"/>
  <c r="C25" i="2"/>
  <c r="C24" i="2"/>
  <c r="C41" i="2"/>
  <c r="C56" i="2"/>
  <c r="C19" i="2"/>
  <c r="C23" i="2"/>
  <c r="C52" i="2"/>
  <c r="C59" i="2"/>
  <c r="C9" i="2"/>
  <c r="C68" i="2"/>
  <c r="C66" i="2"/>
  <c r="C67" i="2"/>
  <c r="C54" i="2"/>
  <c r="C51" i="2"/>
  <c r="C7" i="2"/>
  <c r="C28" i="2"/>
  <c r="C37" i="2"/>
  <c r="C36" i="2"/>
  <c r="C30" i="2"/>
  <c r="C35" i="2"/>
  <c r="C29" i="2"/>
  <c r="C22" i="2"/>
  <c r="C13" i="2"/>
  <c r="C11" i="2"/>
  <c r="C15" i="2"/>
  <c r="C16" i="2"/>
  <c r="C10" i="2"/>
  <c r="C8" i="2"/>
  <c r="C6" i="2"/>
  <c r="C21" i="2"/>
  <c r="C20" i="2"/>
  <c r="C53" i="2"/>
  <c r="C43" i="2"/>
  <c r="C45" i="2"/>
  <c r="C42" i="2"/>
  <c r="C39" i="2"/>
  <c r="C12" i="2"/>
  <c r="C14" i="2"/>
  <c r="C64" i="2"/>
  <c r="C63" i="2"/>
  <c r="C61" i="2"/>
  <c r="C65" i="2"/>
  <c r="C62" i="2"/>
  <c r="C60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B47" i="2"/>
  <c r="B58" i="2"/>
  <c r="B44" i="2"/>
  <c r="B57" i="2"/>
  <c r="B49" i="2"/>
  <c r="B46" i="2"/>
  <c r="B31" i="2"/>
  <c r="B27" i="2"/>
  <c r="B34" i="2"/>
  <c r="B33" i="2"/>
  <c r="B32" i="2"/>
  <c r="B26" i="2"/>
  <c r="B38" i="2"/>
  <c r="B40" i="2"/>
  <c r="B55" i="2"/>
  <c r="B18" i="2"/>
  <c r="B17" i="2"/>
  <c r="B25" i="2"/>
  <c r="B24" i="2"/>
  <c r="B41" i="2"/>
  <c r="B56" i="2"/>
  <c r="B19" i="2"/>
  <c r="B23" i="2"/>
  <c r="B52" i="2"/>
  <c r="B59" i="2"/>
  <c r="B9" i="2"/>
  <c r="B68" i="2"/>
  <c r="B66" i="2"/>
  <c r="B67" i="2"/>
  <c r="B54" i="2"/>
  <c r="B51" i="2"/>
  <c r="B7" i="2"/>
  <c r="B28" i="2"/>
  <c r="B37" i="2"/>
  <c r="B36" i="2"/>
  <c r="B30" i="2"/>
  <c r="B35" i="2"/>
  <c r="B29" i="2"/>
  <c r="B22" i="2"/>
  <c r="B13" i="2"/>
  <c r="B11" i="2"/>
  <c r="B15" i="2"/>
  <c r="B16" i="2"/>
  <c r="B10" i="2"/>
  <c r="B8" i="2"/>
  <c r="B6" i="2"/>
  <c r="B21" i="2"/>
  <c r="B20" i="2"/>
  <c r="B53" i="2"/>
  <c r="B43" i="2"/>
  <c r="B45" i="2"/>
  <c r="B42" i="2"/>
  <c r="B39" i="2"/>
  <c r="B12" i="2"/>
  <c r="B14" i="2"/>
  <c r="B64" i="2"/>
  <c r="B63" i="2"/>
  <c r="B61" i="2"/>
  <c r="B65" i="2"/>
  <c r="B62" i="2"/>
  <c r="B60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50" i="2"/>
  <c r="D48" i="2"/>
  <c r="C48" i="2"/>
  <c r="B48" i="2"/>
  <c r="U964" i="2" l="1"/>
  <c r="V964" i="2" s="1"/>
  <c r="U924" i="2"/>
  <c r="V924" i="2" s="1"/>
  <c r="U884" i="2"/>
  <c r="V884" i="2" s="1"/>
  <c r="U828" i="2"/>
  <c r="V828" i="2" s="1"/>
  <c r="U772" i="2"/>
  <c r="V772" i="2" s="1"/>
  <c r="U716" i="2"/>
  <c r="V716" i="2" s="1"/>
  <c r="U668" i="2"/>
  <c r="V668" i="2" s="1"/>
  <c r="U636" i="2"/>
  <c r="V636" i="2" s="1"/>
  <c r="U596" i="2"/>
  <c r="V596" i="2" s="1"/>
  <c r="U556" i="2"/>
  <c r="V556" i="2" s="1"/>
  <c r="U516" i="2"/>
  <c r="V516" i="2" s="1"/>
  <c r="U476" i="2"/>
  <c r="V476" i="2" s="1"/>
  <c r="U444" i="2"/>
  <c r="V444" i="2" s="1"/>
  <c r="U404" i="2"/>
  <c r="V404" i="2" s="1"/>
  <c r="U364" i="2"/>
  <c r="V364" i="2" s="1"/>
  <c r="U332" i="2"/>
  <c r="V332" i="2" s="1"/>
  <c r="U308" i="2"/>
  <c r="V308" i="2" s="1"/>
  <c r="U268" i="2"/>
  <c r="V268" i="2" s="1"/>
  <c r="U244" i="2"/>
  <c r="V244" i="2" s="1"/>
  <c r="U220" i="2"/>
  <c r="V220" i="2" s="1"/>
  <c r="U196" i="2"/>
  <c r="V196" i="2" s="1"/>
  <c r="U180" i="2"/>
  <c r="V180" i="2" s="1"/>
  <c r="U164" i="2"/>
  <c r="V164" i="2" s="1"/>
  <c r="U156" i="2"/>
  <c r="V156" i="2" s="1"/>
  <c r="U148" i="2"/>
  <c r="V148" i="2" s="1"/>
  <c r="U132" i="2"/>
  <c r="V132" i="2" s="1"/>
  <c r="U124" i="2"/>
  <c r="V124" i="2" s="1"/>
  <c r="U116" i="2"/>
  <c r="V116" i="2" s="1"/>
  <c r="U108" i="2"/>
  <c r="V108" i="2" s="1"/>
  <c r="U100" i="2"/>
  <c r="V100" i="2" s="1"/>
  <c r="U92" i="2"/>
  <c r="V92" i="2" s="1"/>
  <c r="U84" i="2"/>
  <c r="V84" i="2" s="1"/>
  <c r="U76" i="2"/>
  <c r="V76" i="2" s="1"/>
  <c r="U38" i="2"/>
  <c r="V38" i="2" s="1"/>
  <c r="U974" i="2"/>
  <c r="V974" i="2" s="1"/>
  <c r="U966" i="2"/>
  <c r="V966" i="2" s="1"/>
  <c r="U958" i="2"/>
  <c r="V958" i="2" s="1"/>
  <c r="U950" i="2"/>
  <c r="V950" i="2" s="1"/>
  <c r="U942" i="2"/>
  <c r="V942" i="2" s="1"/>
  <c r="U934" i="2"/>
  <c r="V934" i="2" s="1"/>
  <c r="U926" i="2"/>
  <c r="V926" i="2" s="1"/>
  <c r="U918" i="2"/>
  <c r="V918" i="2" s="1"/>
  <c r="U910" i="2"/>
  <c r="V910" i="2" s="1"/>
  <c r="U902" i="2"/>
  <c r="V902" i="2" s="1"/>
  <c r="U894" i="2"/>
  <c r="V894" i="2" s="1"/>
  <c r="U886" i="2"/>
  <c r="V886" i="2" s="1"/>
  <c r="U878" i="2"/>
  <c r="V878" i="2" s="1"/>
  <c r="U870" i="2"/>
  <c r="V870" i="2" s="1"/>
  <c r="U862" i="2"/>
  <c r="V862" i="2" s="1"/>
  <c r="U854" i="2"/>
  <c r="V854" i="2" s="1"/>
  <c r="U846" i="2"/>
  <c r="V846" i="2" s="1"/>
  <c r="U838" i="2"/>
  <c r="V838" i="2" s="1"/>
  <c r="U830" i="2"/>
  <c r="V830" i="2" s="1"/>
  <c r="U822" i="2"/>
  <c r="V822" i="2" s="1"/>
  <c r="U814" i="2"/>
  <c r="V814" i="2" s="1"/>
  <c r="U806" i="2"/>
  <c r="V806" i="2" s="1"/>
  <c r="U798" i="2"/>
  <c r="V798" i="2" s="1"/>
  <c r="U790" i="2"/>
  <c r="V790" i="2" s="1"/>
  <c r="U782" i="2"/>
  <c r="V782" i="2" s="1"/>
  <c r="U774" i="2"/>
  <c r="V774" i="2" s="1"/>
  <c r="U766" i="2"/>
  <c r="V766" i="2" s="1"/>
  <c r="U758" i="2"/>
  <c r="V758" i="2" s="1"/>
  <c r="U750" i="2"/>
  <c r="V750" i="2" s="1"/>
  <c r="U742" i="2"/>
  <c r="V742" i="2" s="1"/>
  <c r="U734" i="2"/>
  <c r="V734" i="2" s="1"/>
  <c r="U726" i="2"/>
  <c r="V726" i="2" s="1"/>
  <c r="U718" i="2"/>
  <c r="V718" i="2" s="1"/>
  <c r="U710" i="2"/>
  <c r="V710" i="2" s="1"/>
  <c r="U702" i="2"/>
  <c r="V702" i="2" s="1"/>
  <c r="U694" i="2"/>
  <c r="V694" i="2" s="1"/>
  <c r="U686" i="2"/>
  <c r="V686" i="2" s="1"/>
  <c r="U678" i="2"/>
  <c r="V678" i="2" s="1"/>
  <c r="U670" i="2"/>
  <c r="V670" i="2" s="1"/>
  <c r="U662" i="2"/>
  <c r="V662" i="2" s="1"/>
  <c r="U654" i="2"/>
  <c r="V654" i="2" s="1"/>
  <c r="U646" i="2"/>
  <c r="V646" i="2" s="1"/>
  <c r="U638" i="2"/>
  <c r="V638" i="2" s="1"/>
  <c r="U630" i="2"/>
  <c r="V630" i="2" s="1"/>
  <c r="U622" i="2"/>
  <c r="V622" i="2" s="1"/>
  <c r="U614" i="2"/>
  <c r="V614" i="2" s="1"/>
  <c r="U606" i="2"/>
  <c r="V606" i="2" s="1"/>
  <c r="U598" i="2"/>
  <c r="V598" i="2" s="1"/>
  <c r="U590" i="2"/>
  <c r="V590" i="2" s="1"/>
  <c r="U582" i="2"/>
  <c r="V582" i="2" s="1"/>
  <c r="U574" i="2"/>
  <c r="V574" i="2" s="1"/>
  <c r="U566" i="2"/>
  <c r="V566" i="2" s="1"/>
  <c r="U558" i="2"/>
  <c r="V558" i="2" s="1"/>
  <c r="U550" i="2"/>
  <c r="V550" i="2" s="1"/>
  <c r="U542" i="2"/>
  <c r="V542" i="2" s="1"/>
  <c r="U534" i="2"/>
  <c r="V534" i="2" s="1"/>
  <c r="U526" i="2"/>
  <c r="V526" i="2" s="1"/>
  <c r="U518" i="2"/>
  <c r="V518" i="2" s="1"/>
  <c r="U510" i="2"/>
  <c r="V510" i="2" s="1"/>
  <c r="U502" i="2"/>
  <c r="V502" i="2" s="1"/>
  <c r="U494" i="2"/>
  <c r="V494" i="2" s="1"/>
  <c r="U486" i="2"/>
  <c r="V486" i="2" s="1"/>
  <c r="U478" i="2"/>
  <c r="V478" i="2" s="1"/>
  <c r="U470" i="2"/>
  <c r="V470" i="2" s="1"/>
  <c r="U462" i="2"/>
  <c r="V462" i="2" s="1"/>
  <c r="U454" i="2"/>
  <c r="V454" i="2" s="1"/>
  <c r="U446" i="2"/>
  <c r="V446" i="2" s="1"/>
  <c r="U438" i="2"/>
  <c r="V438" i="2" s="1"/>
  <c r="U430" i="2"/>
  <c r="V430" i="2" s="1"/>
  <c r="U422" i="2"/>
  <c r="V422" i="2" s="1"/>
  <c r="U414" i="2"/>
  <c r="V414" i="2" s="1"/>
  <c r="U406" i="2"/>
  <c r="V406" i="2" s="1"/>
  <c r="U398" i="2"/>
  <c r="V398" i="2" s="1"/>
  <c r="U390" i="2"/>
  <c r="V390" i="2" s="1"/>
  <c r="U382" i="2"/>
  <c r="V382" i="2" s="1"/>
  <c r="U374" i="2"/>
  <c r="V374" i="2" s="1"/>
  <c r="U366" i="2"/>
  <c r="V366" i="2" s="1"/>
  <c r="U358" i="2"/>
  <c r="V358" i="2" s="1"/>
  <c r="U350" i="2"/>
  <c r="V350" i="2" s="1"/>
  <c r="U342" i="2"/>
  <c r="V342" i="2" s="1"/>
  <c r="U334" i="2"/>
  <c r="V334" i="2" s="1"/>
  <c r="U326" i="2"/>
  <c r="V326" i="2" s="1"/>
  <c r="U318" i="2"/>
  <c r="V318" i="2" s="1"/>
  <c r="U310" i="2"/>
  <c r="V310" i="2" s="1"/>
  <c r="U302" i="2"/>
  <c r="V302" i="2" s="1"/>
  <c r="U294" i="2"/>
  <c r="V294" i="2" s="1"/>
  <c r="U286" i="2"/>
  <c r="V286" i="2" s="1"/>
  <c r="U278" i="2"/>
  <c r="V278" i="2" s="1"/>
  <c r="U270" i="2"/>
  <c r="V270" i="2" s="1"/>
  <c r="U262" i="2"/>
  <c r="V262" i="2" s="1"/>
  <c r="U254" i="2"/>
  <c r="V254" i="2" s="1"/>
  <c r="U246" i="2"/>
  <c r="V246" i="2" s="1"/>
  <c r="U238" i="2"/>
  <c r="V238" i="2" s="1"/>
  <c r="U230" i="2"/>
  <c r="V230" i="2" s="1"/>
  <c r="U222" i="2"/>
  <c r="V222" i="2" s="1"/>
  <c r="U214" i="2"/>
  <c r="V214" i="2" s="1"/>
  <c r="U206" i="2"/>
  <c r="V206" i="2" s="1"/>
  <c r="U198" i="2"/>
  <c r="V198" i="2" s="1"/>
  <c r="U190" i="2"/>
  <c r="V190" i="2" s="1"/>
  <c r="U182" i="2"/>
  <c r="V182" i="2" s="1"/>
  <c r="U174" i="2"/>
  <c r="V174" i="2" s="1"/>
  <c r="U166" i="2"/>
  <c r="V166" i="2" s="1"/>
  <c r="U158" i="2"/>
  <c r="V158" i="2" s="1"/>
  <c r="U150" i="2"/>
  <c r="V150" i="2" s="1"/>
  <c r="U142" i="2"/>
  <c r="V142" i="2" s="1"/>
  <c r="U134" i="2"/>
  <c r="V134" i="2" s="1"/>
  <c r="U126" i="2"/>
  <c r="V126" i="2" s="1"/>
  <c r="U118" i="2"/>
  <c r="V118" i="2" s="1"/>
  <c r="U110" i="2"/>
  <c r="V110" i="2" s="1"/>
  <c r="U102" i="2"/>
  <c r="V102" i="2" s="1"/>
  <c r="U94" i="2"/>
  <c r="V94" i="2" s="1"/>
  <c r="U86" i="2"/>
  <c r="V86" i="2" s="1"/>
  <c r="U78" i="2"/>
  <c r="V78" i="2" s="1"/>
  <c r="U70" i="2"/>
  <c r="V70" i="2" s="1"/>
  <c r="U14" i="2"/>
  <c r="V14" i="2" s="1"/>
  <c r="U21" i="2"/>
  <c r="V21" i="2" s="1"/>
  <c r="U22" i="2"/>
  <c r="V22" i="2" s="1"/>
  <c r="U51" i="2"/>
  <c r="V51" i="2" s="1"/>
  <c r="U23" i="2"/>
  <c r="V23" i="2" s="1"/>
  <c r="U55" i="2"/>
  <c r="V55" i="2" s="1"/>
  <c r="U31" i="2"/>
  <c r="V31" i="2" s="1"/>
  <c r="U948" i="2"/>
  <c r="V948" i="2" s="1"/>
  <c r="U892" i="2"/>
  <c r="V892" i="2" s="1"/>
  <c r="U844" i="2"/>
  <c r="V844" i="2" s="1"/>
  <c r="U820" i="2"/>
  <c r="V820" i="2" s="1"/>
  <c r="U780" i="2"/>
  <c r="V780" i="2" s="1"/>
  <c r="U740" i="2"/>
  <c r="V740" i="2" s="1"/>
  <c r="U700" i="2"/>
  <c r="V700" i="2" s="1"/>
  <c r="U676" i="2"/>
  <c r="V676" i="2" s="1"/>
  <c r="U644" i="2"/>
  <c r="V644" i="2" s="1"/>
  <c r="U612" i="2"/>
  <c r="V612" i="2" s="1"/>
  <c r="U588" i="2"/>
  <c r="V588" i="2" s="1"/>
  <c r="U572" i="2"/>
  <c r="V572" i="2" s="1"/>
  <c r="U532" i="2"/>
  <c r="V532" i="2" s="1"/>
  <c r="U508" i="2"/>
  <c r="V508" i="2" s="1"/>
  <c r="U492" i="2"/>
  <c r="V492" i="2" s="1"/>
  <c r="U468" i="2"/>
  <c r="V468" i="2" s="1"/>
  <c r="U428" i="2"/>
  <c r="V428" i="2" s="1"/>
  <c r="U412" i="2"/>
  <c r="V412" i="2" s="1"/>
  <c r="U380" i="2"/>
  <c r="V380" i="2" s="1"/>
  <c r="U356" i="2"/>
  <c r="V356" i="2" s="1"/>
  <c r="U340" i="2"/>
  <c r="V340" i="2" s="1"/>
  <c r="U316" i="2"/>
  <c r="V316" i="2" s="1"/>
  <c r="U292" i="2"/>
  <c r="V292" i="2" s="1"/>
  <c r="U276" i="2"/>
  <c r="V276" i="2" s="1"/>
  <c r="U252" i="2"/>
  <c r="V252" i="2" s="1"/>
  <c r="U228" i="2"/>
  <c r="V228" i="2" s="1"/>
  <c r="U204" i="2"/>
  <c r="V204" i="2" s="1"/>
  <c r="U172" i="2"/>
  <c r="V172" i="2" s="1"/>
  <c r="U67" i="2"/>
  <c r="V67" i="2" s="1"/>
  <c r="U973" i="2"/>
  <c r="V973" i="2" s="1"/>
  <c r="U965" i="2"/>
  <c r="V965" i="2" s="1"/>
  <c r="U957" i="2"/>
  <c r="V957" i="2" s="1"/>
  <c r="U949" i="2"/>
  <c r="V949" i="2" s="1"/>
  <c r="U941" i="2"/>
  <c r="V941" i="2" s="1"/>
  <c r="U933" i="2"/>
  <c r="V933" i="2" s="1"/>
  <c r="U925" i="2"/>
  <c r="V925" i="2" s="1"/>
  <c r="U917" i="2"/>
  <c r="V917" i="2" s="1"/>
  <c r="U909" i="2"/>
  <c r="V909" i="2" s="1"/>
  <c r="U901" i="2"/>
  <c r="V901" i="2" s="1"/>
  <c r="U893" i="2"/>
  <c r="V893" i="2" s="1"/>
  <c r="U885" i="2"/>
  <c r="V885" i="2" s="1"/>
  <c r="U877" i="2"/>
  <c r="V877" i="2" s="1"/>
  <c r="U869" i="2"/>
  <c r="V869" i="2" s="1"/>
  <c r="U861" i="2"/>
  <c r="V861" i="2" s="1"/>
  <c r="U853" i="2"/>
  <c r="V853" i="2" s="1"/>
  <c r="U845" i="2"/>
  <c r="V845" i="2" s="1"/>
  <c r="U837" i="2"/>
  <c r="V837" i="2" s="1"/>
  <c r="U829" i="2"/>
  <c r="V829" i="2" s="1"/>
  <c r="U821" i="2"/>
  <c r="V821" i="2" s="1"/>
  <c r="U813" i="2"/>
  <c r="V813" i="2" s="1"/>
  <c r="U805" i="2"/>
  <c r="V805" i="2" s="1"/>
  <c r="U797" i="2"/>
  <c r="V797" i="2" s="1"/>
  <c r="U789" i="2"/>
  <c r="V789" i="2" s="1"/>
  <c r="U781" i="2"/>
  <c r="V781" i="2" s="1"/>
  <c r="U773" i="2"/>
  <c r="V773" i="2" s="1"/>
  <c r="U765" i="2"/>
  <c r="V765" i="2" s="1"/>
  <c r="U757" i="2"/>
  <c r="V757" i="2" s="1"/>
  <c r="U749" i="2"/>
  <c r="V749" i="2" s="1"/>
  <c r="U741" i="2"/>
  <c r="V741" i="2" s="1"/>
  <c r="U733" i="2"/>
  <c r="V733" i="2" s="1"/>
  <c r="U725" i="2"/>
  <c r="V725" i="2" s="1"/>
  <c r="U717" i="2"/>
  <c r="V717" i="2" s="1"/>
  <c r="U709" i="2"/>
  <c r="V709" i="2" s="1"/>
  <c r="U701" i="2"/>
  <c r="V701" i="2" s="1"/>
  <c r="U693" i="2"/>
  <c r="V693" i="2" s="1"/>
  <c r="U685" i="2"/>
  <c r="V685" i="2" s="1"/>
  <c r="U677" i="2"/>
  <c r="V677" i="2" s="1"/>
  <c r="U669" i="2"/>
  <c r="V669" i="2" s="1"/>
  <c r="U661" i="2"/>
  <c r="V661" i="2" s="1"/>
  <c r="U653" i="2"/>
  <c r="V653" i="2" s="1"/>
  <c r="U645" i="2"/>
  <c r="V645" i="2" s="1"/>
  <c r="U637" i="2"/>
  <c r="V637" i="2" s="1"/>
  <c r="U629" i="2"/>
  <c r="V629" i="2" s="1"/>
  <c r="U621" i="2"/>
  <c r="V621" i="2" s="1"/>
  <c r="U613" i="2"/>
  <c r="V613" i="2" s="1"/>
  <c r="U605" i="2"/>
  <c r="V605" i="2" s="1"/>
  <c r="U597" i="2"/>
  <c r="V597" i="2" s="1"/>
  <c r="U589" i="2"/>
  <c r="V589" i="2" s="1"/>
  <c r="U581" i="2"/>
  <c r="V581" i="2" s="1"/>
  <c r="U573" i="2"/>
  <c r="V573" i="2" s="1"/>
  <c r="U565" i="2"/>
  <c r="V565" i="2" s="1"/>
  <c r="U557" i="2"/>
  <c r="V557" i="2" s="1"/>
  <c r="U549" i="2"/>
  <c r="V549" i="2" s="1"/>
  <c r="U541" i="2"/>
  <c r="V541" i="2" s="1"/>
  <c r="U533" i="2"/>
  <c r="V533" i="2" s="1"/>
  <c r="U525" i="2"/>
  <c r="V525" i="2" s="1"/>
  <c r="U517" i="2"/>
  <c r="V517" i="2" s="1"/>
  <c r="U509" i="2"/>
  <c r="V509" i="2" s="1"/>
  <c r="U501" i="2"/>
  <c r="V501" i="2" s="1"/>
  <c r="U493" i="2"/>
  <c r="V493" i="2" s="1"/>
  <c r="U485" i="2"/>
  <c r="V485" i="2" s="1"/>
  <c r="U477" i="2"/>
  <c r="V477" i="2" s="1"/>
  <c r="U469" i="2"/>
  <c r="V469" i="2" s="1"/>
  <c r="U461" i="2"/>
  <c r="V461" i="2" s="1"/>
  <c r="U453" i="2"/>
  <c r="V453" i="2" s="1"/>
  <c r="U445" i="2"/>
  <c r="V445" i="2" s="1"/>
  <c r="U437" i="2"/>
  <c r="V437" i="2" s="1"/>
  <c r="U429" i="2"/>
  <c r="V429" i="2" s="1"/>
  <c r="U421" i="2"/>
  <c r="V421" i="2" s="1"/>
  <c r="U413" i="2"/>
  <c r="V413" i="2" s="1"/>
  <c r="U405" i="2"/>
  <c r="V405" i="2" s="1"/>
  <c r="U397" i="2"/>
  <c r="V397" i="2" s="1"/>
  <c r="U389" i="2"/>
  <c r="V389" i="2" s="1"/>
  <c r="U381" i="2"/>
  <c r="V381" i="2" s="1"/>
  <c r="U373" i="2"/>
  <c r="V373" i="2" s="1"/>
  <c r="U365" i="2"/>
  <c r="V365" i="2" s="1"/>
  <c r="U357" i="2"/>
  <c r="V357" i="2" s="1"/>
  <c r="U349" i="2"/>
  <c r="V349" i="2" s="1"/>
  <c r="U341" i="2"/>
  <c r="V341" i="2" s="1"/>
  <c r="U333" i="2"/>
  <c r="V333" i="2" s="1"/>
  <c r="U325" i="2"/>
  <c r="V325" i="2" s="1"/>
  <c r="U317" i="2"/>
  <c r="V317" i="2" s="1"/>
  <c r="U309" i="2"/>
  <c r="V309" i="2" s="1"/>
  <c r="U301" i="2"/>
  <c r="V301" i="2" s="1"/>
  <c r="U293" i="2"/>
  <c r="V293" i="2" s="1"/>
  <c r="U285" i="2"/>
  <c r="V285" i="2" s="1"/>
  <c r="U277" i="2"/>
  <c r="V277" i="2" s="1"/>
  <c r="U269" i="2"/>
  <c r="V269" i="2" s="1"/>
  <c r="U261" i="2"/>
  <c r="V261" i="2" s="1"/>
  <c r="U253" i="2"/>
  <c r="V253" i="2" s="1"/>
  <c r="U245" i="2"/>
  <c r="V245" i="2" s="1"/>
  <c r="U237" i="2"/>
  <c r="V237" i="2" s="1"/>
  <c r="U229" i="2"/>
  <c r="V229" i="2" s="1"/>
  <c r="U221" i="2"/>
  <c r="V221" i="2" s="1"/>
  <c r="U213" i="2"/>
  <c r="V213" i="2" s="1"/>
  <c r="U205" i="2"/>
  <c r="V205" i="2" s="1"/>
  <c r="U197" i="2"/>
  <c r="V197" i="2" s="1"/>
  <c r="U189" i="2"/>
  <c r="V189" i="2" s="1"/>
  <c r="U181" i="2"/>
  <c r="V181" i="2" s="1"/>
  <c r="U173" i="2"/>
  <c r="V173" i="2" s="1"/>
  <c r="U165" i="2"/>
  <c r="V165" i="2" s="1"/>
  <c r="U157" i="2"/>
  <c r="V157" i="2" s="1"/>
  <c r="U149" i="2"/>
  <c r="V149" i="2" s="1"/>
  <c r="U141" i="2"/>
  <c r="V141" i="2" s="1"/>
  <c r="U133" i="2"/>
  <c r="V133" i="2" s="1"/>
  <c r="U125" i="2"/>
  <c r="V125" i="2" s="1"/>
  <c r="U117" i="2"/>
  <c r="V117" i="2" s="1"/>
  <c r="U109" i="2"/>
  <c r="V109" i="2" s="1"/>
  <c r="U101" i="2"/>
  <c r="V101" i="2" s="1"/>
  <c r="U93" i="2"/>
  <c r="V93" i="2" s="1"/>
  <c r="U85" i="2"/>
  <c r="V85" i="2" s="1"/>
  <c r="U77" i="2"/>
  <c r="V77" i="2" s="1"/>
  <c r="U69" i="2"/>
  <c r="V69" i="2" s="1"/>
  <c r="U12" i="2"/>
  <c r="V12" i="2" s="1"/>
  <c r="U6" i="2"/>
  <c r="V6" i="2" s="1"/>
  <c r="U29" i="2"/>
  <c r="V29" i="2" s="1"/>
  <c r="U54" i="2"/>
  <c r="V54" i="2" s="1"/>
  <c r="U19" i="2"/>
  <c r="V19" i="2" s="1"/>
  <c r="U40" i="2"/>
  <c r="V40" i="2" s="1"/>
  <c r="U46" i="2"/>
  <c r="V46" i="2" s="1"/>
  <c r="U756" i="2"/>
  <c r="V756" i="2" s="1"/>
  <c r="U60" i="2"/>
  <c r="V60" i="2" s="1"/>
  <c r="U49" i="2"/>
  <c r="V49" i="2" s="1"/>
  <c r="U971" i="2"/>
  <c r="V971" i="2" s="1"/>
  <c r="U963" i="2"/>
  <c r="V963" i="2" s="1"/>
  <c r="U955" i="2"/>
  <c r="V955" i="2" s="1"/>
  <c r="U947" i="2"/>
  <c r="V947" i="2" s="1"/>
  <c r="U939" i="2"/>
  <c r="V939" i="2" s="1"/>
  <c r="U931" i="2"/>
  <c r="V931" i="2" s="1"/>
  <c r="U923" i="2"/>
  <c r="V923" i="2" s="1"/>
  <c r="U915" i="2"/>
  <c r="V915" i="2" s="1"/>
  <c r="U907" i="2"/>
  <c r="V907" i="2" s="1"/>
  <c r="U899" i="2"/>
  <c r="V899" i="2" s="1"/>
  <c r="U891" i="2"/>
  <c r="V891" i="2" s="1"/>
  <c r="U883" i="2"/>
  <c r="V883" i="2" s="1"/>
  <c r="U875" i="2"/>
  <c r="V875" i="2" s="1"/>
  <c r="U867" i="2"/>
  <c r="V867" i="2" s="1"/>
  <c r="U859" i="2"/>
  <c r="V859" i="2" s="1"/>
  <c r="U851" i="2"/>
  <c r="V851" i="2" s="1"/>
  <c r="U843" i="2"/>
  <c r="V843" i="2" s="1"/>
  <c r="U835" i="2"/>
  <c r="V835" i="2" s="1"/>
  <c r="U827" i="2"/>
  <c r="V827" i="2" s="1"/>
  <c r="U819" i="2"/>
  <c r="V819" i="2" s="1"/>
  <c r="U811" i="2"/>
  <c r="V811" i="2" s="1"/>
  <c r="U803" i="2"/>
  <c r="V803" i="2" s="1"/>
  <c r="U795" i="2"/>
  <c r="V795" i="2" s="1"/>
  <c r="U787" i="2"/>
  <c r="V787" i="2" s="1"/>
  <c r="U779" i="2"/>
  <c r="V779" i="2" s="1"/>
  <c r="U771" i="2"/>
  <c r="V771" i="2" s="1"/>
  <c r="U763" i="2"/>
  <c r="V763" i="2" s="1"/>
  <c r="U755" i="2"/>
  <c r="V755" i="2" s="1"/>
  <c r="U747" i="2"/>
  <c r="V747" i="2" s="1"/>
  <c r="U739" i="2"/>
  <c r="V739" i="2" s="1"/>
  <c r="U731" i="2"/>
  <c r="V731" i="2" s="1"/>
  <c r="U723" i="2"/>
  <c r="V723" i="2" s="1"/>
  <c r="U715" i="2"/>
  <c r="V715" i="2" s="1"/>
  <c r="U707" i="2"/>
  <c r="V707" i="2" s="1"/>
  <c r="U699" i="2"/>
  <c r="V699" i="2" s="1"/>
  <c r="U691" i="2"/>
  <c r="V691" i="2" s="1"/>
  <c r="U683" i="2"/>
  <c r="V683" i="2" s="1"/>
  <c r="U675" i="2"/>
  <c r="V675" i="2" s="1"/>
  <c r="U667" i="2"/>
  <c r="V667" i="2" s="1"/>
  <c r="U659" i="2"/>
  <c r="V659" i="2" s="1"/>
  <c r="U651" i="2"/>
  <c r="V651" i="2" s="1"/>
  <c r="U643" i="2"/>
  <c r="V643" i="2" s="1"/>
  <c r="U635" i="2"/>
  <c r="V635" i="2" s="1"/>
  <c r="U627" i="2"/>
  <c r="V627" i="2" s="1"/>
  <c r="U619" i="2"/>
  <c r="V619" i="2" s="1"/>
  <c r="U611" i="2"/>
  <c r="V611" i="2" s="1"/>
  <c r="U603" i="2"/>
  <c r="V603" i="2" s="1"/>
  <c r="U595" i="2"/>
  <c r="V595" i="2" s="1"/>
  <c r="U587" i="2"/>
  <c r="V587" i="2" s="1"/>
  <c r="U579" i="2"/>
  <c r="V579" i="2" s="1"/>
  <c r="U571" i="2"/>
  <c r="V571" i="2" s="1"/>
  <c r="U563" i="2"/>
  <c r="V563" i="2" s="1"/>
  <c r="U555" i="2"/>
  <c r="V555" i="2" s="1"/>
  <c r="U547" i="2"/>
  <c r="V547" i="2" s="1"/>
  <c r="U539" i="2"/>
  <c r="V539" i="2" s="1"/>
  <c r="U531" i="2"/>
  <c r="V531" i="2" s="1"/>
  <c r="U523" i="2"/>
  <c r="V523" i="2" s="1"/>
  <c r="U515" i="2"/>
  <c r="V515" i="2" s="1"/>
  <c r="U507" i="2"/>
  <c r="V507" i="2" s="1"/>
  <c r="U499" i="2"/>
  <c r="V499" i="2" s="1"/>
  <c r="U491" i="2"/>
  <c r="V491" i="2" s="1"/>
  <c r="U483" i="2"/>
  <c r="V483" i="2" s="1"/>
  <c r="U475" i="2"/>
  <c r="V475" i="2" s="1"/>
  <c r="U467" i="2"/>
  <c r="V467" i="2" s="1"/>
  <c r="U459" i="2"/>
  <c r="V459" i="2" s="1"/>
  <c r="U451" i="2"/>
  <c r="V451" i="2" s="1"/>
  <c r="U443" i="2"/>
  <c r="V443" i="2" s="1"/>
  <c r="U435" i="2"/>
  <c r="V435" i="2" s="1"/>
  <c r="U427" i="2"/>
  <c r="V427" i="2" s="1"/>
  <c r="U419" i="2"/>
  <c r="V419" i="2" s="1"/>
  <c r="U411" i="2"/>
  <c r="V411" i="2" s="1"/>
  <c r="U403" i="2"/>
  <c r="V403" i="2" s="1"/>
  <c r="U395" i="2"/>
  <c r="V395" i="2" s="1"/>
  <c r="U387" i="2"/>
  <c r="V387" i="2" s="1"/>
  <c r="U379" i="2"/>
  <c r="V379" i="2" s="1"/>
  <c r="U371" i="2"/>
  <c r="V371" i="2" s="1"/>
  <c r="U363" i="2"/>
  <c r="V363" i="2" s="1"/>
  <c r="U355" i="2"/>
  <c r="V355" i="2" s="1"/>
  <c r="U347" i="2"/>
  <c r="V347" i="2" s="1"/>
  <c r="U339" i="2"/>
  <c r="V339" i="2" s="1"/>
  <c r="U331" i="2"/>
  <c r="V331" i="2" s="1"/>
  <c r="U323" i="2"/>
  <c r="V323" i="2" s="1"/>
  <c r="U315" i="2"/>
  <c r="V315" i="2" s="1"/>
  <c r="U307" i="2"/>
  <c r="V307" i="2" s="1"/>
  <c r="U299" i="2"/>
  <c r="V299" i="2" s="1"/>
  <c r="U291" i="2"/>
  <c r="V291" i="2" s="1"/>
  <c r="U283" i="2"/>
  <c r="V283" i="2" s="1"/>
  <c r="U275" i="2"/>
  <c r="V275" i="2" s="1"/>
  <c r="U267" i="2"/>
  <c r="V267" i="2" s="1"/>
  <c r="U259" i="2"/>
  <c r="V259" i="2" s="1"/>
  <c r="U251" i="2"/>
  <c r="V251" i="2" s="1"/>
  <c r="U243" i="2"/>
  <c r="V243" i="2" s="1"/>
  <c r="U235" i="2"/>
  <c r="V235" i="2" s="1"/>
  <c r="U227" i="2"/>
  <c r="V227" i="2" s="1"/>
  <c r="U219" i="2"/>
  <c r="V219" i="2" s="1"/>
  <c r="U211" i="2"/>
  <c r="V211" i="2" s="1"/>
  <c r="U203" i="2"/>
  <c r="V203" i="2" s="1"/>
  <c r="U195" i="2"/>
  <c r="V195" i="2" s="1"/>
  <c r="U187" i="2"/>
  <c r="V187" i="2" s="1"/>
  <c r="U179" i="2"/>
  <c r="V179" i="2" s="1"/>
  <c r="U171" i="2"/>
  <c r="V171" i="2" s="1"/>
  <c r="U163" i="2"/>
  <c r="V163" i="2" s="1"/>
  <c r="U155" i="2"/>
  <c r="V155" i="2" s="1"/>
  <c r="U147" i="2"/>
  <c r="V147" i="2" s="1"/>
  <c r="U139" i="2"/>
  <c r="V139" i="2" s="1"/>
  <c r="U131" i="2"/>
  <c r="V131" i="2" s="1"/>
  <c r="U123" i="2"/>
  <c r="V123" i="2" s="1"/>
  <c r="U115" i="2"/>
  <c r="V115" i="2" s="1"/>
  <c r="U107" i="2"/>
  <c r="V107" i="2" s="1"/>
  <c r="U99" i="2"/>
  <c r="V99" i="2" s="1"/>
  <c r="U91" i="2"/>
  <c r="V91" i="2" s="1"/>
  <c r="U83" i="2"/>
  <c r="V83" i="2" s="1"/>
  <c r="U75" i="2"/>
  <c r="V75" i="2" s="1"/>
  <c r="U62" i="2"/>
  <c r="V62" i="2" s="1"/>
  <c r="U42" i="2"/>
  <c r="V42" i="2" s="1"/>
  <c r="U10" i="2"/>
  <c r="V10" i="2" s="1"/>
  <c r="U30" i="2"/>
  <c r="V30" i="2" s="1"/>
  <c r="U66" i="2"/>
  <c r="V66" i="2" s="1"/>
  <c r="U41" i="2"/>
  <c r="V41" i="2" s="1"/>
  <c r="U26" i="2"/>
  <c r="V26" i="2" s="1"/>
  <c r="U57" i="2"/>
  <c r="V57" i="2" s="1"/>
  <c r="U972" i="2"/>
  <c r="V972" i="2" s="1"/>
  <c r="U932" i="2"/>
  <c r="V932" i="2" s="1"/>
  <c r="U900" i="2"/>
  <c r="V900" i="2" s="1"/>
  <c r="U868" i="2"/>
  <c r="V868" i="2" s="1"/>
  <c r="U836" i="2"/>
  <c r="V836" i="2" s="1"/>
  <c r="U788" i="2"/>
  <c r="V788" i="2" s="1"/>
  <c r="U748" i="2"/>
  <c r="V748" i="2" s="1"/>
  <c r="U708" i="2"/>
  <c r="V708" i="2" s="1"/>
  <c r="U684" i="2"/>
  <c r="V684" i="2" s="1"/>
  <c r="U652" i="2"/>
  <c r="V652" i="2" s="1"/>
  <c r="U620" i="2"/>
  <c r="V620" i="2" s="1"/>
  <c r="U604" i="2"/>
  <c r="V604" i="2" s="1"/>
  <c r="U580" i="2"/>
  <c r="V580" i="2" s="1"/>
  <c r="U540" i="2"/>
  <c r="V540" i="2" s="1"/>
  <c r="U524" i="2"/>
  <c r="V524" i="2" s="1"/>
  <c r="U500" i="2"/>
  <c r="V500" i="2" s="1"/>
  <c r="U484" i="2"/>
  <c r="V484" i="2" s="1"/>
  <c r="U460" i="2"/>
  <c r="V460" i="2" s="1"/>
  <c r="U436" i="2"/>
  <c r="V436" i="2" s="1"/>
  <c r="U420" i="2"/>
  <c r="V420" i="2" s="1"/>
  <c r="U396" i="2"/>
  <c r="V396" i="2" s="1"/>
  <c r="U372" i="2"/>
  <c r="V372" i="2" s="1"/>
  <c r="U348" i="2"/>
  <c r="V348" i="2" s="1"/>
  <c r="U324" i="2"/>
  <c r="V324" i="2" s="1"/>
  <c r="U300" i="2"/>
  <c r="V300" i="2" s="1"/>
  <c r="U284" i="2"/>
  <c r="V284" i="2" s="1"/>
  <c r="U260" i="2"/>
  <c r="V260" i="2" s="1"/>
  <c r="U236" i="2"/>
  <c r="V236" i="2" s="1"/>
  <c r="U212" i="2"/>
  <c r="V212" i="2" s="1"/>
  <c r="U188" i="2"/>
  <c r="V188" i="2" s="1"/>
  <c r="U140" i="2"/>
  <c r="V140" i="2" s="1"/>
  <c r="U56" i="2"/>
  <c r="V56" i="2" s="1"/>
  <c r="U970" i="2"/>
  <c r="V970" i="2" s="1"/>
  <c r="U962" i="2"/>
  <c r="V962" i="2" s="1"/>
  <c r="U954" i="2"/>
  <c r="V954" i="2" s="1"/>
  <c r="U946" i="2"/>
  <c r="V946" i="2" s="1"/>
  <c r="U938" i="2"/>
  <c r="V938" i="2" s="1"/>
  <c r="U930" i="2"/>
  <c r="V930" i="2" s="1"/>
  <c r="U922" i="2"/>
  <c r="V922" i="2" s="1"/>
  <c r="U914" i="2"/>
  <c r="V914" i="2" s="1"/>
  <c r="U906" i="2"/>
  <c r="V906" i="2" s="1"/>
  <c r="U898" i="2"/>
  <c r="V898" i="2" s="1"/>
  <c r="U890" i="2"/>
  <c r="V890" i="2" s="1"/>
  <c r="U882" i="2"/>
  <c r="V882" i="2" s="1"/>
  <c r="U874" i="2"/>
  <c r="V874" i="2" s="1"/>
  <c r="U866" i="2"/>
  <c r="V866" i="2" s="1"/>
  <c r="U858" i="2"/>
  <c r="V858" i="2" s="1"/>
  <c r="U850" i="2"/>
  <c r="V850" i="2" s="1"/>
  <c r="U842" i="2"/>
  <c r="V842" i="2" s="1"/>
  <c r="U834" i="2"/>
  <c r="V834" i="2" s="1"/>
  <c r="U826" i="2"/>
  <c r="V826" i="2" s="1"/>
  <c r="U818" i="2"/>
  <c r="V818" i="2" s="1"/>
  <c r="U810" i="2"/>
  <c r="V810" i="2" s="1"/>
  <c r="U802" i="2"/>
  <c r="V802" i="2" s="1"/>
  <c r="U794" i="2"/>
  <c r="V794" i="2" s="1"/>
  <c r="U786" i="2"/>
  <c r="V786" i="2" s="1"/>
  <c r="U778" i="2"/>
  <c r="V778" i="2" s="1"/>
  <c r="U770" i="2"/>
  <c r="V770" i="2" s="1"/>
  <c r="U762" i="2"/>
  <c r="V762" i="2" s="1"/>
  <c r="U754" i="2"/>
  <c r="V754" i="2" s="1"/>
  <c r="U746" i="2"/>
  <c r="V746" i="2" s="1"/>
  <c r="U738" i="2"/>
  <c r="V738" i="2" s="1"/>
  <c r="U730" i="2"/>
  <c r="V730" i="2" s="1"/>
  <c r="U722" i="2"/>
  <c r="V722" i="2" s="1"/>
  <c r="U714" i="2"/>
  <c r="V714" i="2" s="1"/>
  <c r="U706" i="2"/>
  <c r="V706" i="2" s="1"/>
  <c r="U698" i="2"/>
  <c r="V698" i="2" s="1"/>
  <c r="U690" i="2"/>
  <c r="V690" i="2" s="1"/>
  <c r="U682" i="2"/>
  <c r="V682" i="2" s="1"/>
  <c r="U674" i="2"/>
  <c r="V674" i="2" s="1"/>
  <c r="U666" i="2"/>
  <c r="V666" i="2" s="1"/>
  <c r="U658" i="2"/>
  <c r="V658" i="2" s="1"/>
  <c r="U650" i="2"/>
  <c r="V650" i="2" s="1"/>
  <c r="U642" i="2"/>
  <c r="V642" i="2" s="1"/>
  <c r="U634" i="2"/>
  <c r="V634" i="2" s="1"/>
  <c r="U626" i="2"/>
  <c r="V626" i="2" s="1"/>
  <c r="U618" i="2"/>
  <c r="V618" i="2" s="1"/>
  <c r="U610" i="2"/>
  <c r="V610" i="2" s="1"/>
  <c r="U602" i="2"/>
  <c r="V602" i="2" s="1"/>
  <c r="U594" i="2"/>
  <c r="V594" i="2" s="1"/>
  <c r="U586" i="2"/>
  <c r="V586" i="2" s="1"/>
  <c r="U578" i="2"/>
  <c r="V578" i="2" s="1"/>
  <c r="U570" i="2"/>
  <c r="V570" i="2" s="1"/>
  <c r="U562" i="2"/>
  <c r="V562" i="2" s="1"/>
  <c r="U554" i="2"/>
  <c r="V554" i="2" s="1"/>
  <c r="U546" i="2"/>
  <c r="V546" i="2" s="1"/>
  <c r="U538" i="2"/>
  <c r="V538" i="2" s="1"/>
  <c r="U530" i="2"/>
  <c r="V530" i="2" s="1"/>
  <c r="U522" i="2"/>
  <c r="V522" i="2" s="1"/>
  <c r="U514" i="2"/>
  <c r="V514" i="2" s="1"/>
  <c r="U506" i="2"/>
  <c r="V506" i="2" s="1"/>
  <c r="U498" i="2"/>
  <c r="V498" i="2" s="1"/>
  <c r="U490" i="2"/>
  <c r="V490" i="2" s="1"/>
  <c r="U482" i="2"/>
  <c r="V482" i="2" s="1"/>
  <c r="U474" i="2"/>
  <c r="V474" i="2" s="1"/>
  <c r="U466" i="2"/>
  <c r="V466" i="2" s="1"/>
  <c r="U458" i="2"/>
  <c r="V458" i="2" s="1"/>
  <c r="U450" i="2"/>
  <c r="V450" i="2" s="1"/>
  <c r="U442" i="2"/>
  <c r="V442" i="2" s="1"/>
  <c r="U434" i="2"/>
  <c r="V434" i="2" s="1"/>
  <c r="U426" i="2"/>
  <c r="V426" i="2" s="1"/>
  <c r="U418" i="2"/>
  <c r="V418" i="2" s="1"/>
  <c r="U410" i="2"/>
  <c r="V410" i="2" s="1"/>
  <c r="U402" i="2"/>
  <c r="V402" i="2" s="1"/>
  <c r="U394" i="2"/>
  <c r="V394" i="2" s="1"/>
  <c r="U386" i="2"/>
  <c r="V386" i="2" s="1"/>
  <c r="U378" i="2"/>
  <c r="V378" i="2" s="1"/>
  <c r="U370" i="2"/>
  <c r="V370" i="2" s="1"/>
  <c r="U362" i="2"/>
  <c r="V362" i="2" s="1"/>
  <c r="U354" i="2"/>
  <c r="V354" i="2" s="1"/>
  <c r="U346" i="2"/>
  <c r="V346" i="2" s="1"/>
  <c r="U338" i="2"/>
  <c r="V338" i="2" s="1"/>
  <c r="U330" i="2"/>
  <c r="V330" i="2" s="1"/>
  <c r="U322" i="2"/>
  <c r="V322" i="2" s="1"/>
  <c r="U314" i="2"/>
  <c r="V314" i="2" s="1"/>
  <c r="U306" i="2"/>
  <c r="V306" i="2" s="1"/>
  <c r="U298" i="2"/>
  <c r="V298" i="2" s="1"/>
  <c r="U290" i="2"/>
  <c r="V290" i="2" s="1"/>
  <c r="U282" i="2"/>
  <c r="V282" i="2" s="1"/>
  <c r="U274" i="2"/>
  <c r="V274" i="2" s="1"/>
  <c r="U266" i="2"/>
  <c r="V266" i="2" s="1"/>
  <c r="U258" i="2"/>
  <c r="V258" i="2" s="1"/>
  <c r="U250" i="2"/>
  <c r="V250" i="2" s="1"/>
  <c r="U242" i="2"/>
  <c r="V242" i="2" s="1"/>
  <c r="U234" i="2"/>
  <c r="V234" i="2" s="1"/>
  <c r="U226" i="2"/>
  <c r="V226" i="2" s="1"/>
  <c r="U218" i="2"/>
  <c r="V218" i="2" s="1"/>
  <c r="U210" i="2"/>
  <c r="V210" i="2" s="1"/>
  <c r="U202" i="2"/>
  <c r="V202" i="2" s="1"/>
  <c r="U194" i="2"/>
  <c r="V194" i="2" s="1"/>
  <c r="U186" i="2"/>
  <c r="V186" i="2" s="1"/>
  <c r="U178" i="2"/>
  <c r="V178" i="2" s="1"/>
  <c r="U170" i="2"/>
  <c r="V170" i="2" s="1"/>
  <c r="U162" i="2"/>
  <c r="V162" i="2" s="1"/>
  <c r="U154" i="2"/>
  <c r="V154" i="2" s="1"/>
  <c r="U146" i="2"/>
  <c r="V146" i="2" s="1"/>
  <c r="U138" i="2"/>
  <c r="V138" i="2" s="1"/>
  <c r="U130" i="2"/>
  <c r="V130" i="2" s="1"/>
  <c r="U122" i="2"/>
  <c r="V122" i="2" s="1"/>
  <c r="U114" i="2"/>
  <c r="V114" i="2" s="1"/>
  <c r="U106" i="2"/>
  <c r="V106" i="2" s="1"/>
  <c r="U98" i="2"/>
  <c r="V98" i="2" s="1"/>
  <c r="U90" i="2"/>
  <c r="V90" i="2" s="1"/>
  <c r="U82" i="2"/>
  <c r="V82" i="2" s="1"/>
  <c r="U74" i="2"/>
  <c r="V74" i="2" s="1"/>
  <c r="U65" i="2"/>
  <c r="V65" i="2" s="1"/>
  <c r="U45" i="2"/>
  <c r="V45" i="2" s="1"/>
  <c r="U16" i="2"/>
  <c r="V16" i="2" s="1"/>
  <c r="U36" i="2"/>
  <c r="V36" i="2" s="1"/>
  <c r="U68" i="2"/>
  <c r="V68" i="2" s="1"/>
  <c r="U24" i="2"/>
  <c r="V24" i="2" s="1"/>
  <c r="U32" i="2"/>
  <c r="V32" i="2" s="1"/>
  <c r="U44" i="2"/>
  <c r="V44" i="2" s="1"/>
  <c r="U956" i="2"/>
  <c r="V956" i="2" s="1"/>
  <c r="U908" i="2"/>
  <c r="V908" i="2" s="1"/>
  <c r="U860" i="2"/>
  <c r="V860" i="2" s="1"/>
  <c r="U812" i="2"/>
  <c r="V812" i="2" s="1"/>
  <c r="U764" i="2"/>
  <c r="V764" i="2" s="1"/>
  <c r="U692" i="2"/>
  <c r="V692" i="2" s="1"/>
  <c r="U548" i="2"/>
  <c r="V548" i="2" s="1"/>
  <c r="U39" i="2"/>
  <c r="V39" i="2" s="1"/>
  <c r="U969" i="2"/>
  <c r="V969" i="2" s="1"/>
  <c r="U961" i="2"/>
  <c r="V961" i="2" s="1"/>
  <c r="U953" i="2"/>
  <c r="V953" i="2" s="1"/>
  <c r="U945" i="2"/>
  <c r="V945" i="2" s="1"/>
  <c r="U937" i="2"/>
  <c r="V937" i="2" s="1"/>
  <c r="U929" i="2"/>
  <c r="V929" i="2" s="1"/>
  <c r="U921" i="2"/>
  <c r="V921" i="2" s="1"/>
  <c r="U913" i="2"/>
  <c r="V913" i="2" s="1"/>
  <c r="U905" i="2"/>
  <c r="V905" i="2" s="1"/>
  <c r="U897" i="2"/>
  <c r="V897" i="2" s="1"/>
  <c r="U889" i="2"/>
  <c r="V889" i="2" s="1"/>
  <c r="U881" i="2"/>
  <c r="V881" i="2" s="1"/>
  <c r="U873" i="2"/>
  <c r="V873" i="2" s="1"/>
  <c r="U865" i="2"/>
  <c r="V865" i="2" s="1"/>
  <c r="U857" i="2"/>
  <c r="V857" i="2" s="1"/>
  <c r="U849" i="2"/>
  <c r="V849" i="2" s="1"/>
  <c r="U841" i="2"/>
  <c r="V841" i="2" s="1"/>
  <c r="U833" i="2"/>
  <c r="V833" i="2" s="1"/>
  <c r="U825" i="2"/>
  <c r="V825" i="2" s="1"/>
  <c r="U817" i="2"/>
  <c r="V817" i="2" s="1"/>
  <c r="U809" i="2"/>
  <c r="V809" i="2" s="1"/>
  <c r="U801" i="2"/>
  <c r="V801" i="2" s="1"/>
  <c r="U793" i="2"/>
  <c r="V793" i="2" s="1"/>
  <c r="U785" i="2"/>
  <c r="V785" i="2" s="1"/>
  <c r="U777" i="2"/>
  <c r="V777" i="2" s="1"/>
  <c r="U769" i="2"/>
  <c r="V769" i="2" s="1"/>
  <c r="U761" i="2"/>
  <c r="V761" i="2" s="1"/>
  <c r="U753" i="2"/>
  <c r="V753" i="2" s="1"/>
  <c r="U745" i="2"/>
  <c r="V745" i="2" s="1"/>
  <c r="U737" i="2"/>
  <c r="V737" i="2" s="1"/>
  <c r="U729" i="2"/>
  <c r="V729" i="2" s="1"/>
  <c r="U721" i="2"/>
  <c r="V721" i="2" s="1"/>
  <c r="U713" i="2"/>
  <c r="V713" i="2" s="1"/>
  <c r="U705" i="2"/>
  <c r="V705" i="2" s="1"/>
  <c r="U697" i="2"/>
  <c r="V697" i="2" s="1"/>
  <c r="U689" i="2"/>
  <c r="V689" i="2" s="1"/>
  <c r="U681" i="2"/>
  <c r="V681" i="2" s="1"/>
  <c r="U673" i="2"/>
  <c r="V673" i="2" s="1"/>
  <c r="U665" i="2"/>
  <c r="V665" i="2" s="1"/>
  <c r="U657" i="2"/>
  <c r="V657" i="2" s="1"/>
  <c r="U649" i="2"/>
  <c r="V649" i="2" s="1"/>
  <c r="U641" i="2"/>
  <c r="V641" i="2" s="1"/>
  <c r="U633" i="2"/>
  <c r="V633" i="2" s="1"/>
  <c r="U625" i="2"/>
  <c r="V625" i="2" s="1"/>
  <c r="U617" i="2"/>
  <c r="V617" i="2" s="1"/>
  <c r="U609" i="2"/>
  <c r="V609" i="2" s="1"/>
  <c r="U601" i="2"/>
  <c r="V601" i="2" s="1"/>
  <c r="U593" i="2"/>
  <c r="V593" i="2" s="1"/>
  <c r="U585" i="2"/>
  <c r="V585" i="2" s="1"/>
  <c r="U577" i="2"/>
  <c r="V577" i="2" s="1"/>
  <c r="U569" i="2"/>
  <c r="V569" i="2" s="1"/>
  <c r="U561" i="2"/>
  <c r="V561" i="2" s="1"/>
  <c r="U553" i="2"/>
  <c r="V553" i="2" s="1"/>
  <c r="U545" i="2"/>
  <c r="V545" i="2" s="1"/>
  <c r="U537" i="2"/>
  <c r="V537" i="2" s="1"/>
  <c r="U529" i="2"/>
  <c r="V529" i="2" s="1"/>
  <c r="U521" i="2"/>
  <c r="V521" i="2" s="1"/>
  <c r="U513" i="2"/>
  <c r="V513" i="2" s="1"/>
  <c r="U505" i="2"/>
  <c r="V505" i="2" s="1"/>
  <c r="U497" i="2"/>
  <c r="V497" i="2" s="1"/>
  <c r="U489" i="2"/>
  <c r="V489" i="2" s="1"/>
  <c r="U481" i="2"/>
  <c r="V481" i="2" s="1"/>
  <c r="U473" i="2"/>
  <c r="V473" i="2" s="1"/>
  <c r="U465" i="2"/>
  <c r="V465" i="2" s="1"/>
  <c r="U457" i="2"/>
  <c r="V457" i="2" s="1"/>
  <c r="U449" i="2"/>
  <c r="V449" i="2" s="1"/>
  <c r="U441" i="2"/>
  <c r="V441" i="2" s="1"/>
  <c r="U433" i="2"/>
  <c r="V433" i="2" s="1"/>
  <c r="U425" i="2"/>
  <c r="V425" i="2" s="1"/>
  <c r="U417" i="2"/>
  <c r="V417" i="2" s="1"/>
  <c r="U409" i="2"/>
  <c r="V409" i="2" s="1"/>
  <c r="U401" i="2"/>
  <c r="V401" i="2" s="1"/>
  <c r="U393" i="2"/>
  <c r="V393" i="2" s="1"/>
  <c r="U385" i="2"/>
  <c r="V385" i="2" s="1"/>
  <c r="U377" i="2"/>
  <c r="V377" i="2" s="1"/>
  <c r="U369" i="2"/>
  <c r="V369" i="2" s="1"/>
  <c r="U361" i="2"/>
  <c r="V361" i="2" s="1"/>
  <c r="U353" i="2"/>
  <c r="V353" i="2" s="1"/>
  <c r="U345" i="2"/>
  <c r="V345" i="2" s="1"/>
  <c r="U337" i="2"/>
  <c r="V337" i="2" s="1"/>
  <c r="U329" i="2"/>
  <c r="V329" i="2" s="1"/>
  <c r="U321" i="2"/>
  <c r="V321" i="2" s="1"/>
  <c r="U313" i="2"/>
  <c r="V313" i="2" s="1"/>
  <c r="U305" i="2"/>
  <c r="V305" i="2" s="1"/>
  <c r="U297" i="2"/>
  <c r="V297" i="2" s="1"/>
  <c r="U289" i="2"/>
  <c r="V289" i="2" s="1"/>
  <c r="U281" i="2"/>
  <c r="V281" i="2" s="1"/>
  <c r="U273" i="2"/>
  <c r="V273" i="2" s="1"/>
  <c r="U265" i="2"/>
  <c r="V265" i="2" s="1"/>
  <c r="U257" i="2"/>
  <c r="V257" i="2" s="1"/>
  <c r="U249" i="2"/>
  <c r="V249" i="2" s="1"/>
  <c r="U241" i="2"/>
  <c r="V241" i="2" s="1"/>
  <c r="U233" i="2"/>
  <c r="V233" i="2" s="1"/>
  <c r="U225" i="2"/>
  <c r="V225" i="2" s="1"/>
  <c r="U217" i="2"/>
  <c r="V217" i="2" s="1"/>
  <c r="U209" i="2"/>
  <c r="V209" i="2" s="1"/>
  <c r="U201" i="2"/>
  <c r="V201" i="2" s="1"/>
  <c r="U193" i="2"/>
  <c r="V193" i="2" s="1"/>
  <c r="U185" i="2"/>
  <c r="V185" i="2" s="1"/>
  <c r="U177" i="2"/>
  <c r="V177" i="2" s="1"/>
  <c r="U169" i="2"/>
  <c r="V169" i="2" s="1"/>
  <c r="U161" i="2"/>
  <c r="V161" i="2" s="1"/>
  <c r="U153" i="2"/>
  <c r="V153" i="2" s="1"/>
  <c r="U145" i="2"/>
  <c r="V145" i="2" s="1"/>
  <c r="U137" i="2"/>
  <c r="V137" i="2" s="1"/>
  <c r="U129" i="2"/>
  <c r="V129" i="2" s="1"/>
  <c r="U121" i="2"/>
  <c r="V121" i="2" s="1"/>
  <c r="U113" i="2"/>
  <c r="V113" i="2" s="1"/>
  <c r="U105" i="2"/>
  <c r="V105" i="2" s="1"/>
  <c r="U97" i="2"/>
  <c r="V97" i="2" s="1"/>
  <c r="U89" i="2"/>
  <c r="V89" i="2" s="1"/>
  <c r="U81" i="2"/>
  <c r="V81" i="2" s="1"/>
  <c r="U73" i="2"/>
  <c r="V73" i="2" s="1"/>
  <c r="U61" i="2"/>
  <c r="V61" i="2" s="1"/>
  <c r="U43" i="2"/>
  <c r="V43" i="2" s="1"/>
  <c r="U15" i="2"/>
  <c r="V15" i="2" s="1"/>
  <c r="U37" i="2"/>
  <c r="V37" i="2" s="1"/>
  <c r="U9" i="2"/>
  <c r="V9" i="2" s="1"/>
  <c r="U25" i="2"/>
  <c r="V25" i="2" s="1"/>
  <c r="U33" i="2"/>
  <c r="V33" i="2" s="1"/>
  <c r="U58" i="2"/>
  <c r="V58" i="2" s="1"/>
  <c r="U940" i="2"/>
  <c r="V940" i="2" s="1"/>
  <c r="U876" i="2"/>
  <c r="V876" i="2" s="1"/>
  <c r="U804" i="2"/>
  <c r="V804" i="2" s="1"/>
  <c r="U724" i="2"/>
  <c r="V724" i="2" s="1"/>
  <c r="U628" i="2"/>
  <c r="V628" i="2" s="1"/>
  <c r="U452" i="2"/>
  <c r="V452" i="2" s="1"/>
  <c r="U35" i="2"/>
  <c r="V35" i="2" s="1"/>
  <c r="U48" i="2"/>
  <c r="V48" i="2" s="1"/>
  <c r="U968" i="2"/>
  <c r="V968" i="2" s="1"/>
  <c r="U960" i="2"/>
  <c r="V960" i="2" s="1"/>
  <c r="U952" i="2"/>
  <c r="V952" i="2" s="1"/>
  <c r="U944" i="2"/>
  <c r="V944" i="2" s="1"/>
  <c r="U936" i="2"/>
  <c r="V936" i="2" s="1"/>
  <c r="U928" i="2"/>
  <c r="V928" i="2" s="1"/>
  <c r="U920" i="2"/>
  <c r="V920" i="2" s="1"/>
  <c r="U912" i="2"/>
  <c r="V912" i="2" s="1"/>
  <c r="U904" i="2"/>
  <c r="V904" i="2" s="1"/>
  <c r="U896" i="2"/>
  <c r="V896" i="2" s="1"/>
  <c r="U888" i="2"/>
  <c r="V888" i="2" s="1"/>
  <c r="U880" i="2"/>
  <c r="V880" i="2" s="1"/>
  <c r="U872" i="2"/>
  <c r="V872" i="2" s="1"/>
  <c r="U864" i="2"/>
  <c r="V864" i="2" s="1"/>
  <c r="U856" i="2"/>
  <c r="V856" i="2" s="1"/>
  <c r="U848" i="2"/>
  <c r="V848" i="2" s="1"/>
  <c r="U840" i="2"/>
  <c r="V840" i="2" s="1"/>
  <c r="U832" i="2"/>
  <c r="V832" i="2" s="1"/>
  <c r="U824" i="2"/>
  <c r="V824" i="2" s="1"/>
  <c r="U816" i="2"/>
  <c r="V816" i="2" s="1"/>
  <c r="U808" i="2"/>
  <c r="V808" i="2" s="1"/>
  <c r="U800" i="2"/>
  <c r="V800" i="2" s="1"/>
  <c r="U792" i="2"/>
  <c r="V792" i="2" s="1"/>
  <c r="U784" i="2"/>
  <c r="V784" i="2" s="1"/>
  <c r="U776" i="2"/>
  <c r="V776" i="2" s="1"/>
  <c r="U768" i="2"/>
  <c r="V768" i="2" s="1"/>
  <c r="U760" i="2"/>
  <c r="V760" i="2" s="1"/>
  <c r="U752" i="2"/>
  <c r="V752" i="2" s="1"/>
  <c r="U744" i="2"/>
  <c r="V744" i="2" s="1"/>
  <c r="U736" i="2"/>
  <c r="V736" i="2" s="1"/>
  <c r="U728" i="2"/>
  <c r="V728" i="2" s="1"/>
  <c r="U720" i="2"/>
  <c r="V720" i="2" s="1"/>
  <c r="U712" i="2"/>
  <c r="V712" i="2" s="1"/>
  <c r="U704" i="2"/>
  <c r="V704" i="2" s="1"/>
  <c r="U696" i="2"/>
  <c r="V696" i="2" s="1"/>
  <c r="U688" i="2"/>
  <c r="V688" i="2" s="1"/>
  <c r="U680" i="2"/>
  <c r="V680" i="2" s="1"/>
  <c r="U672" i="2"/>
  <c r="V672" i="2" s="1"/>
  <c r="U664" i="2"/>
  <c r="V664" i="2" s="1"/>
  <c r="U656" i="2"/>
  <c r="V656" i="2" s="1"/>
  <c r="U648" i="2"/>
  <c r="V648" i="2" s="1"/>
  <c r="U640" i="2"/>
  <c r="V640" i="2" s="1"/>
  <c r="U632" i="2"/>
  <c r="V632" i="2" s="1"/>
  <c r="U624" i="2"/>
  <c r="V624" i="2" s="1"/>
  <c r="U616" i="2"/>
  <c r="V616" i="2" s="1"/>
  <c r="U608" i="2"/>
  <c r="V608" i="2" s="1"/>
  <c r="U600" i="2"/>
  <c r="V600" i="2" s="1"/>
  <c r="U592" i="2"/>
  <c r="V592" i="2" s="1"/>
  <c r="U584" i="2"/>
  <c r="V584" i="2" s="1"/>
  <c r="U576" i="2"/>
  <c r="V576" i="2" s="1"/>
  <c r="U568" i="2"/>
  <c r="V568" i="2" s="1"/>
  <c r="U560" i="2"/>
  <c r="V560" i="2" s="1"/>
  <c r="U552" i="2"/>
  <c r="V552" i="2" s="1"/>
  <c r="U544" i="2"/>
  <c r="V544" i="2" s="1"/>
  <c r="U536" i="2"/>
  <c r="V536" i="2" s="1"/>
  <c r="U528" i="2"/>
  <c r="V528" i="2" s="1"/>
  <c r="U520" i="2"/>
  <c r="V520" i="2" s="1"/>
  <c r="U512" i="2"/>
  <c r="V512" i="2" s="1"/>
  <c r="U504" i="2"/>
  <c r="V504" i="2" s="1"/>
  <c r="U496" i="2"/>
  <c r="V496" i="2" s="1"/>
  <c r="U488" i="2"/>
  <c r="V488" i="2" s="1"/>
  <c r="U480" i="2"/>
  <c r="V480" i="2" s="1"/>
  <c r="U472" i="2"/>
  <c r="V472" i="2" s="1"/>
  <c r="U464" i="2"/>
  <c r="V464" i="2" s="1"/>
  <c r="U456" i="2"/>
  <c r="V456" i="2" s="1"/>
  <c r="U448" i="2"/>
  <c r="V448" i="2" s="1"/>
  <c r="U440" i="2"/>
  <c r="V440" i="2" s="1"/>
  <c r="U432" i="2"/>
  <c r="V432" i="2" s="1"/>
  <c r="U424" i="2"/>
  <c r="V424" i="2" s="1"/>
  <c r="U416" i="2"/>
  <c r="V416" i="2" s="1"/>
  <c r="U408" i="2"/>
  <c r="V408" i="2" s="1"/>
  <c r="U400" i="2"/>
  <c r="V400" i="2" s="1"/>
  <c r="U392" i="2"/>
  <c r="V392" i="2" s="1"/>
  <c r="U384" i="2"/>
  <c r="V384" i="2" s="1"/>
  <c r="U376" i="2"/>
  <c r="V376" i="2" s="1"/>
  <c r="U368" i="2"/>
  <c r="V368" i="2" s="1"/>
  <c r="U360" i="2"/>
  <c r="V360" i="2" s="1"/>
  <c r="U352" i="2"/>
  <c r="V352" i="2" s="1"/>
  <c r="U344" i="2"/>
  <c r="V344" i="2" s="1"/>
  <c r="U336" i="2"/>
  <c r="V336" i="2" s="1"/>
  <c r="U328" i="2"/>
  <c r="V328" i="2" s="1"/>
  <c r="U320" i="2"/>
  <c r="V320" i="2" s="1"/>
  <c r="U312" i="2"/>
  <c r="V312" i="2" s="1"/>
  <c r="U304" i="2"/>
  <c r="V304" i="2" s="1"/>
  <c r="U296" i="2"/>
  <c r="V296" i="2" s="1"/>
  <c r="U288" i="2"/>
  <c r="V288" i="2" s="1"/>
  <c r="U280" i="2"/>
  <c r="V280" i="2" s="1"/>
  <c r="U272" i="2"/>
  <c r="V272" i="2" s="1"/>
  <c r="U264" i="2"/>
  <c r="V264" i="2" s="1"/>
  <c r="U256" i="2"/>
  <c r="V256" i="2" s="1"/>
  <c r="U248" i="2"/>
  <c r="V248" i="2" s="1"/>
  <c r="U240" i="2"/>
  <c r="V240" i="2" s="1"/>
  <c r="U232" i="2"/>
  <c r="V232" i="2" s="1"/>
  <c r="U224" i="2"/>
  <c r="V224" i="2" s="1"/>
  <c r="U216" i="2"/>
  <c r="V216" i="2" s="1"/>
  <c r="U208" i="2"/>
  <c r="V208" i="2" s="1"/>
  <c r="U200" i="2"/>
  <c r="V200" i="2" s="1"/>
  <c r="U192" i="2"/>
  <c r="V192" i="2" s="1"/>
  <c r="U184" i="2"/>
  <c r="V184" i="2" s="1"/>
  <c r="U176" i="2"/>
  <c r="V176" i="2" s="1"/>
  <c r="U168" i="2"/>
  <c r="V168" i="2" s="1"/>
  <c r="U160" i="2"/>
  <c r="V160" i="2" s="1"/>
  <c r="U152" i="2"/>
  <c r="V152" i="2" s="1"/>
  <c r="U144" i="2"/>
  <c r="V144" i="2" s="1"/>
  <c r="U136" i="2"/>
  <c r="V136" i="2" s="1"/>
  <c r="U128" i="2"/>
  <c r="V128" i="2" s="1"/>
  <c r="U120" i="2"/>
  <c r="V120" i="2" s="1"/>
  <c r="U112" i="2"/>
  <c r="V112" i="2" s="1"/>
  <c r="U104" i="2"/>
  <c r="V104" i="2" s="1"/>
  <c r="U96" i="2"/>
  <c r="V96" i="2" s="1"/>
  <c r="U88" i="2"/>
  <c r="V88" i="2" s="1"/>
  <c r="U80" i="2"/>
  <c r="V80" i="2" s="1"/>
  <c r="U72" i="2"/>
  <c r="V72" i="2" s="1"/>
  <c r="U63" i="2"/>
  <c r="V63" i="2" s="1"/>
  <c r="U53" i="2"/>
  <c r="V53" i="2" s="1"/>
  <c r="U11" i="2"/>
  <c r="V11" i="2" s="1"/>
  <c r="U28" i="2"/>
  <c r="V28" i="2" s="1"/>
  <c r="U59" i="2"/>
  <c r="V59" i="2" s="1"/>
  <c r="U17" i="2"/>
  <c r="V17" i="2" s="1"/>
  <c r="U34" i="2"/>
  <c r="V34" i="2" s="1"/>
  <c r="U47" i="2"/>
  <c r="V47" i="2" s="1"/>
  <c r="U916" i="2"/>
  <c r="V916" i="2" s="1"/>
  <c r="U852" i="2"/>
  <c r="V852" i="2" s="1"/>
  <c r="U796" i="2"/>
  <c r="V796" i="2" s="1"/>
  <c r="U732" i="2"/>
  <c r="V732" i="2" s="1"/>
  <c r="U660" i="2"/>
  <c r="V660" i="2" s="1"/>
  <c r="U564" i="2"/>
  <c r="V564" i="2" s="1"/>
  <c r="U388" i="2"/>
  <c r="V388" i="2" s="1"/>
  <c r="U8" i="2"/>
  <c r="V8" i="2" s="1"/>
  <c r="U967" i="2"/>
  <c r="V967" i="2" s="1"/>
  <c r="U959" i="2"/>
  <c r="V959" i="2" s="1"/>
  <c r="U951" i="2"/>
  <c r="V951" i="2" s="1"/>
  <c r="U943" i="2"/>
  <c r="V943" i="2" s="1"/>
  <c r="U935" i="2"/>
  <c r="V935" i="2" s="1"/>
  <c r="U927" i="2"/>
  <c r="V927" i="2" s="1"/>
  <c r="U919" i="2"/>
  <c r="V919" i="2" s="1"/>
  <c r="U911" i="2"/>
  <c r="V911" i="2" s="1"/>
  <c r="U903" i="2"/>
  <c r="V903" i="2" s="1"/>
  <c r="U895" i="2"/>
  <c r="V895" i="2" s="1"/>
  <c r="U887" i="2"/>
  <c r="V887" i="2" s="1"/>
  <c r="U879" i="2"/>
  <c r="V879" i="2" s="1"/>
  <c r="U871" i="2"/>
  <c r="V871" i="2" s="1"/>
  <c r="U863" i="2"/>
  <c r="V863" i="2" s="1"/>
  <c r="U855" i="2"/>
  <c r="V855" i="2" s="1"/>
  <c r="U847" i="2"/>
  <c r="V847" i="2" s="1"/>
  <c r="U839" i="2"/>
  <c r="V839" i="2" s="1"/>
  <c r="U831" i="2"/>
  <c r="V831" i="2" s="1"/>
  <c r="U823" i="2"/>
  <c r="V823" i="2" s="1"/>
  <c r="U815" i="2"/>
  <c r="V815" i="2" s="1"/>
  <c r="U807" i="2"/>
  <c r="V807" i="2" s="1"/>
  <c r="U799" i="2"/>
  <c r="V799" i="2" s="1"/>
  <c r="U791" i="2"/>
  <c r="V791" i="2" s="1"/>
  <c r="U783" i="2"/>
  <c r="V783" i="2" s="1"/>
  <c r="U775" i="2"/>
  <c r="V775" i="2" s="1"/>
  <c r="U767" i="2"/>
  <c r="V767" i="2" s="1"/>
  <c r="U759" i="2"/>
  <c r="V759" i="2" s="1"/>
  <c r="U751" i="2"/>
  <c r="V751" i="2" s="1"/>
  <c r="U743" i="2"/>
  <c r="V743" i="2" s="1"/>
  <c r="U735" i="2"/>
  <c r="V735" i="2" s="1"/>
  <c r="U727" i="2"/>
  <c r="V727" i="2" s="1"/>
  <c r="U719" i="2"/>
  <c r="V719" i="2" s="1"/>
  <c r="U711" i="2"/>
  <c r="V711" i="2" s="1"/>
  <c r="U703" i="2"/>
  <c r="V703" i="2" s="1"/>
  <c r="U695" i="2"/>
  <c r="V695" i="2" s="1"/>
  <c r="U687" i="2"/>
  <c r="V687" i="2" s="1"/>
  <c r="U679" i="2"/>
  <c r="V679" i="2" s="1"/>
  <c r="U671" i="2"/>
  <c r="V671" i="2" s="1"/>
  <c r="U663" i="2"/>
  <c r="V663" i="2" s="1"/>
  <c r="U655" i="2"/>
  <c r="V655" i="2" s="1"/>
  <c r="U647" i="2"/>
  <c r="V647" i="2" s="1"/>
  <c r="U639" i="2"/>
  <c r="V639" i="2" s="1"/>
  <c r="U631" i="2"/>
  <c r="V631" i="2" s="1"/>
  <c r="U623" i="2"/>
  <c r="V623" i="2" s="1"/>
  <c r="U615" i="2"/>
  <c r="V615" i="2" s="1"/>
  <c r="U607" i="2"/>
  <c r="V607" i="2" s="1"/>
  <c r="U599" i="2"/>
  <c r="V599" i="2" s="1"/>
  <c r="U591" i="2"/>
  <c r="V591" i="2" s="1"/>
  <c r="U583" i="2"/>
  <c r="V583" i="2" s="1"/>
  <c r="U575" i="2"/>
  <c r="V575" i="2" s="1"/>
  <c r="U567" i="2"/>
  <c r="V567" i="2" s="1"/>
  <c r="U559" i="2"/>
  <c r="V559" i="2" s="1"/>
  <c r="U551" i="2"/>
  <c r="V551" i="2" s="1"/>
  <c r="U543" i="2"/>
  <c r="V543" i="2" s="1"/>
  <c r="U535" i="2"/>
  <c r="V535" i="2" s="1"/>
  <c r="U527" i="2"/>
  <c r="V527" i="2" s="1"/>
  <c r="U519" i="2"/>
  <c r="V519" i="2" s="1"/>
  <c r="U511" i="2"/>
  <c r="V511" i="2" s="1"/>
  <c r="U503" i="2"/>
  <c r="V503" i="2" s="1"/>
  <c r="U495" i="2"/>
  <c r="V495" i="2" s="1"/>
  <c r="U487" i="2"/>
  <c r="V487" i="2" s="1"/>
  <c r="U479" i="2"/>
  <c r="V479" i="2" s="1"/>
  <c r="U471" i="2"/>
  <c r="V471" i="2" s="1"/>
  <c r="U463" i="2"/>
  <c r="V463" i="2" s="1"/>
  <c r="U455" i="2"/>
  <c r="V455" i="2" s="1"/>
  <c r="U447" i="2"/>
  <c r="V447" i="2" s="1"/>
  <c r="U439" i="2"/>
  <c r="V439" i="2" s="1"/>
  <c r="U431" i="2"/>
  <c r="V431" i="2" s="1"/>
  <c r="U423" i="2"/>
  <c r="V423" i="2" s="1"/>
  <c r="U415" i="2"/>
  <c r="V415" i="2" s="1"/>
  <c r="U407" i="2"/>
  <c r="V407" i="2" s="1"/>
  <c r="U399" i="2"/>
  <c r="V399" i="2" s="1"/>
  <c r="U391" i="2"/>
  <c r="V391" i="2" s="1"/>
  <c r="U383" i="2"/>
  <c r="V383" i="2" s="1"/>
  <c r="U375" i="2"/>
  <c r="V375" i="2" s="1"/>
  <c r="U367" i="2"/>
  <c r="V367" i="2" s="1"/>
  <c r="U359" i="2"/>
  <c r="V359" i="2" s="1"/>
  <c r="U351" i="2"/>
  <c r="V351" i="2" s="1"/>
  <c r="U343" i="2"/>
  <c r="V343" i="2" s="1"/>
  <c r="U335" i="2"/>
  <c r="V335" i="2" s="1"/>
  <c r="U327" i="2"/>
  <c r="V327" i="2" s="1"/>
  <c r="U319" i="2"/>
  <c r="V319" i="2" s="1"/>
  <c r="U311" i="2"/>
  <c r="V311" i="2" s="1"/>
  <c r="U303" i="2"/>
  <c r="V303" i="2" s="1"/>
  <c r="U295" i="2"/>
  <c r="V295" i="2" s="1"/>
  <c r="U287" i="2"/>
  <c r="V287" i="2" s="1"/>
  <c r="U279" i="2"/>
  <c r="V279" i="2" s="1"/>
  <c r="U271" i="2"/>
  <c r="V271" i="2" s="1"/>
  <c r="U263" i="2"/>
  <c r="V263" i="2" s="1"/>
  <c r="U255" i="2"/>
  <c r="V255" i="2" s="1"/>
  <c r="U247" i="2"/>
  <c r="V247" i="2" s="1"/>
  <c r="U239" i="2"/>
  <c r="V239" i="2" s="1"/>
  <c r="U231" i="2"/>
  <c r="V231" i="2" s="1"/>
  <c r="U223" i="2"/>
  <c r="V223" i="2" s="1"/>
  <c r="U215" i="2"/>
  <c r="V215" i="2" s="1"/>
  <c r="U207" i="2"/>
  <c r="V207" i="2" s="1"/>
  <c r="U199" i="2"/>
  <c r="V199" i="2" s="1"/>
  <c r="U191" i="2"/>
  <c r="V191" i="2" s="1"/>
  <c r="U183" i="2"/>
  <c r="V183" i="2" s="1"/>
  <c r="U175" i="2"/>
  <c r="V175" i="2" s="1"/>
  <c r="U167" i="2"/>
  <c r="V167" i="2" s="1"/>
  <c r="U159" i="2"/>
  <c r="V159" i="2" s="1"/>
  <c r="U151" i="2"/>
  <c r="V151" i="2" s="1"/>
  <c r="U143" i="2"/>
  <c r="V143" i="2" s="1"/>
  <c r="U135" i="2"/>
  <c r="V135" i="2" s="1"/>
  <c r="U127" i="2"/>
  <c r="V127" i="2" s="1"/>
  <c r="U119" i="2"/>
  <c r="V119" i="2" s="1"/>
  <c r="U111" i="2"/>
  <c r="V111" i="2" s="1"/>
  <c r="U103" i="2"/>
  <c r="V103" i="2" s="1"/>
  <c r="U95" i="2"/>
  <c r="V95" i="2" s="1"/>
  <c r="U87" i="2"/>
  <c r="V87" i="2" s="1"/>
  <c r="U79" i="2"/>
  <c r="V79" i="2" s="1"/>
  <c r="U71" i="2"/>
  <c r="V71" i="2" s="1"/>
  <c r="U64" i="2"/>
  <c r="V64" i="2" s="1"/>
  <c r="U20" i="2"/>
  <c r="V20" i="2" s="1"/>
  <c r="U13" i="2"/>
  <c r="V13" i="2" s="1"/>
  <c r="U7" i="2"/>
  <c r="V7" i="2" s="1"/>
  <c r="U52" i="2"/>
  <c r="V52" i="2" s="1"/>
  <c r="U18" i="2"/>
  <c r="V18" i="2" s="1"/>
  <c r="U27" i="2"/>
  <c r="V27" i="2" s="1"/>
  <c r="U50" i="2"/>
  <c r="V50" i="2" s="1"/>
  <c r="F2" i="3"/>
  <c r="E48" i="2" s="1"/>
  <c r="F3" i="3"/>
  <c r="E47" i="2" s="1"/>
  <c r="F4" i="3"/>
  <c r="E49" i="2" s="1"/>
  <c r="F5" i="3"/>
  <c r="E46" i="2" s="1"/>
  <c r="F6" i="3"/>
  <c r="E27" i="2" s="1"/>
  <c r="F7" i="3"/>
  <c r="E50" i="2" s="1"/>
  <c r="F8" i="3"/>
  <c r="F9" i="3"/>
  <c r="F10" i="3"/>
  <c r="E31" i="2" s="1"/>
  <c r="F11" i="3"/>
  <c r="E34" i="2" s="1"/>
  <c r="F12" i="3"/>
  <c r="E32" i="2" s="1"/>
  <c r="F13" i="3"/>
  <c r="E26" i="2" s="1"/>
  <c r="F14" i="3"/>
  <c r="E38" i="2" s="1"/>
  <c r="F15" i="3"/>
  <c r="E58" i="2" s="1"/>
  <c r="F16" i="3"/>
  <c r="E44" i="2" s="1"/>
  <c r="F17" i="3"/>
  <c r="E40" i="2" s="1"/>
  <c r="F18" i="3"/>
  <c r="E55" i="2" s="1"/>
  <c r="F19" i="3"/>
  <c r="E33" i="2" s="1"/>
  <c r="F20" i="3"/>
  <c r="E18" i="2" s="1"/>
  <c r="F21" i="3"/>
  <c r="E17" i="2" s="1"/>
  <c r="F22" i="3"/>
  <c r="E25" i="2" s="1"/>
  <c r="F23" i="3"/>
  <c r="E24" i="2" s="1"/>
  <c r="F24" i="3"/>
  <c r="E41" i="2" s="1"/>
  <c r="F25" i="3"/>
  <c r="E56" i="2" s="1"/>
  <c r="F26" i="3"/>
  <c r="E19" i="2" s="1"/>
  <c r="F27" i="3"/>
  <c r="E23" i="2" s="1"/>
  <c r="F28" i="3"/>
  <c r="E52" i="2" s="1"/>
  <c r="F29" i="3"/>
  <c r="F30" i="3"/>
  <c r="E59" i="2" s="1"/>
  <c r="F31" i="3"/>
  <c r="F32" i="3"/>
  <c r="F33" i="3"/>
  <c r="E9" i="2" s="1"/>
  <c r="F34" i="3"/>
  <c r="E68" i="2" s="1"/>
  <c r="F35" i="3"/>
  <c r="E66" i="2" s="1"/>
  <c r="F36" i="3"/>
  <c r="E67" i="2" s="1"/>
  <c r="F37" i="3"/>
  <c r="E54" i="2" s="1"/>
  <c r="F38" i="3"/>
  <c r="E51" i="2" s="1"/>
  <c r="F39" i="3"/>
  <c r="E7" i="2" s="1"/>
  <c r="F40" i="3"/>
  <c r="F41" i="3"/>
  <c r="F42" i="3"/>
  <c r="E28" i="2" s="1"/>
  <c r="F43" i="3"/>
  <c r="E37" i="2" s="1"/>
  <c r="F44" i="3"/>
  <c r="E36" i="2" s="1"/>
  <c r="F45" i="3"/>
  <c r="E30" i="2" s="1"/>
  <c r="F46" i="3"/>
  <c r="E35" i="2" s="1"/>
  <c r="F47" i="3"/>
  <c r="E29" i="2" s="1"/>
  <c r="F48" i="3"/>
  <c r="E57" i="2" s="1"/>
  <c r="F49" i="3"/>
  <c r="E22" i="2" s="1"/>
  <c r="F50" i="3"/>
  <c r="E13" i="2" s="1"/>
  <c r="F51" i="3"/>
  <c r="E11" i="2" s="1"/>
  <c r="F52" i="3"/>
  <c r="E15" i="2" s="1"/>
  <c r="F53" i="3"/>
  <c r="E16" i="2" s="1"/>
  <c r="F54" i="3"/>
  <c r="E10" i="2" s="1"/>
  <c r="F55" i="3"/>
  <c r="E8" i="2" s="1"/>
  <c r="F56" i="3"/>
  <c r="E6" i="2" s="1"/>
  <c r="F57" i="3"/>
  <c r="E21" i="2" s="1"/>
  <c r="F58" i="3"/>
  <c r="E20" i="2" s="1"/>
  <c r="F59" i="3"/>
  <c r="E53" i="2" s="1"/>
  <c r="F60" i="3"/>
  <c r="E43" i="2" s="1"/>
  <c r="F61" i="3"/>
  <c r="E45" i="2" s="1"/>
  <c r="F62" i="3"/>
  <c r="E42" i="2" s="1"/>
  <c r="F63" i="3"/>
  <c r="E39" i="2" s="1"/>
  <c r="F64" i="3"/>
  <c r="E12" i="2" s="1"/>
  <c r="F65" i="3"/>
  <c r="E14" i="2" s="1"/>
  <c r="F66" i="3"/>
  <c r="E64" i="2" s="1"/>
  <c r="F67" i="3"/>
  <c r="E63" i="2" s="1"/>
  <c r="F68" i="3"/>
  <c r="E61" i="2" s="1"/>
  <c r="F69" i="3"/>
  <c r="E65" i="2" s="1"/>
  <c r="F70" i="3"/>
  <c r="E62" i="2" s="1"/>
  <c r="F71" i="3"/>
  <c r="E60" i="2" s="1"/>
</calcChain>
</file>

<file path=xl/sharedStrings.xml><?xml version="1.0" encoding="utf-8"?>
<sst xmlns="http://schemas.openxmlformats.org/spreadsheetml/2006/main" count="496" uniqueCount="231">
  <si>
    <t>REPARTO DINÁMICO DE PESOS Y MÓDULOS SEGÚN PERFIL DE COMPRA</t>
  </si>
  <si>
    <t>Módulo Analítico</t>
  </si>
  <si>
    <t>Perfil 1: Internacional</t>
  </si>
  <si>
    <t>Perfil 2: Local Insumos</t>
  </si>
  <si>
    <t>Perfil 3: Servicios / Fletes</t>
  </si>
  <si>
    <t>M1. Calidad y Conformidad Técnica</t>
  </si>
  <si>
    <t>40%</t>
  </si>
  <si>
    <t>30%</t>
  </si>
  <si>
    <t>0% (N/A)</t>
  </si>
  <si>
    <t>M2. Logística, Entregas y Origen</t>
  </si>
  <si>
    <t>25%</t>
  </si>
  <si>
    <t>50%</t>
  </si>
  <si>
    <t>M3. Higiene, Seguridad y Legales</t>
  </si>
  <si>
    <t>15%</t>
  </si>
  <si>
    <t>M4. Gestión Comercial y Costos</t>
  </si>
  <si>
    <t>20%</t>
  </si>
  <si>
    <t>M5. Sustentabilidad / Bonificaciones</t>
  </si>
  <si>
    <t>10%</t>
  </si>
  <si>
    <t>BASE TOTAL DE LA EVALUACIÓN</t>
  </si>
  <si>
    <t>100%</t>
  </si>
  <si>
    <t>Fórmulas Dinámicas por Perfil de Suministro | Enfoque Basado en Riesgos ISO 9001:2015</t>
  </si>
  <si>
    <t>Proveedor</t>
  </si>
  <si>
    <t>Criticidad</t>
  </si>
  <si>
    <t>Puntaje Final</t>
  </si>
  <si>
    <t>Clasificación</t>
  </si>
  <si>
    <t>MATRIZ CORPORATIVA DE DESEMPEÑO DE PROVEEDORES</t>
  </si>
  <si>
    <t>Melamina</t>
  </si>
  <si>
    <t>Flete</t>
  </si>
  <si>
    <t>Formol</t>
  </si>
  <si>
    <t>KOTKAMILLS</t>
  </si>
  <si>
    <t>Producto / Servicio</t>
  </si>
  <si>
    <t xml:space="preserve">Perfil </t>
  </si>
  <si>
    <t>Entregas Tarde</t>
  </si>
  <si>
    <t>NC   Críticas</t>
  </si>
  <si>
    <t>Desvíos Tec. Men.</t>
  </si>
  <si>
    <t>Daño Carga</t>
  </si>
  <si>
    <t>Origen Extremo</t>
  </si>
  <si>
    <t>CALIDAD (M1)</t>
  </si>
  <si>
    <t>LOGISTICA (M2)</t>
  </si>
  <si>
    <t>HyS - LEGALES (M3)</t>
  </si>
  <si>
    <t>ART Vencida</t>
  </si>
  <si>
    <t>Falta EPP</t>
  </si>
  <si>
    <t>Doc. Mensual</t>
  </si>
  <si>
    <t>COMERCIAL (M4)</t>
  </si>
  <si>
    <t>SUSTENTABILIDAD (M5)</t>
  </si>
  <si>
    <t>ISO 9001</t>
  </si>
  <si>
    <t>FSC</t>
  </si>
  <si>
    <t>ISO 14001</t>
  </si>
  <si>
    <t>Soporte Técnico</t>
  </si>
  <si>
    <t>ENTRO CORP.</t>
  </si>
  <si>
    <t>Fenol</t>
  </si>
  <si>
    <t>Trietanolamina</t>
  </si>
  <si>
    <t>Dietilenglicol</t>
  </si>
  <si>
    <t>ESKAS</t>
  </si>
  <si>
    <t>MUNKSJO</t>
  </si>
  <si>
    <t>Papel decorativo</t>
  </si>
  <si>
    <t>CAIEIRAS</t>
  </si>
  <si>
    <t>TECHNOCELL</t>
  </si>
  <si>
    <t>Papel Kraft</t>
  </si>
  <si>
    <t>PM</t>
  </si>
  <si>
    <t>SASOL</t>
  </si>
  <si>
    <t>ATANOR</t>
  </si>
  <si>
    <t>ARAUCO</t>
  </si>
  <si>
    <t>RESINAS CONCORDIA</t>
  </si>
  <si>
    <t>NATH</t>
  </si>
  <si>
    <t>FAPLAC</t>
  </si>
  <si>
    <t>MDP/Aglomerado</t>
  </si>
  <si>
    <t>CUYOPLACAS</t>
  </si>
  <si>
    <t>VILLA GUILLERMINA</t>
  </si>
  <si>
    <t>MDF/HDF</t>
  </si>
  <si>
    <t>TRUPAN</t>
  </si>
  <si>
    <t>UFC</t>
  </si>
  <si>
    <t>FIPLASTO</t>
  </si>
  <si>
    <t>Chapadur</t>
  </si>
  <si>
    <t>INQUIMEX</t>
  </si>
  <si>
    <t>Urea</t>
  </si>
  <si>
    <t>JORGE ALETTI</t>
  </si>
  <si>
    <t>YPF</t>
  </si>
  <si>
    <t>DALGAR</t>
  </si>
  <si>
    <t>QUIMICA OLIVOS</t>
  </si>
  <si>
    <t>APTS CT50</t>
  </si>
  <si>
    <t>A TONAL</t>
  </si>
  <si>
    <t>Tintas</t>
  </si>
  <si>
    <t>FLEXOTINT</t>
  </si>
  <si>
    <t>LUMPACK</t>
  </si>
  <si>
    <t>Alcohol</t>
  </si>
  <si>
    <t>PORTA HNOS</t>
  </si>
  <si>
    <t>FRADEALCO</t>
  </si>
  <si>
    <t>SZCHIMER</t>
  </si>
  <si>
    <t>Humectante</t>
  </si>
  <si>
    <t>Alginato de sodio</t>
  </si>
  <si>
    <t>LIAONING</t>
  </si>
  <si>
    <t>Papel Overlay</t>
  </si>
  <si>
    <t>GLATFELTER</t>
  </si>
  <si>
    <t>SCHATTDECOR</t>
  </si>
  <si>
    <t>Papeles impregnados</t>
  </si>
  <si>
    <t>IMPRESS DECOR</t>
  </si>
  <si>
    <t>Papeles impresos</t>
  </si>
  <si>
    <t>RHODIA</t>
  </si>
  <si>
    <t>SESA</t>
  </si>
  <si>
    <t>POLYVANTIS</t>
  </si>
  <si>
    <t>Film UV</t>
  </si>
  <si>
    <t>ARKEMA</t>
  </si>
  <si>
    <t>FERON</t>
  </si>
  <si>
    <t>Foil aluminio</t>
  </si>
  <si>
    <t>WIZ CHEMICALS</t>
  </si>
  <si>
    <t>Aditivos</t>
  </si>
  <si>
    <t>Protect 4</t>
  </si>
  <si>
    <t>TNS</t>
  </si>
  <si>
    <t>LAMINADOS DO BRASIL</t>
  </si>
  <si>
    <t>Panel canaletado</t>
  </si>
  <si>
    <t>HEBEI</t>
  </si>
  <si>
    <t>Tela Roving</t>
  </si>
  <si>
    <t>KEKOL</t>
  </si>
  <si>
    <t>Adhesivos</t>
  </si>
  <si>
    <t>ARTECOLA</t>
  </si>
  <si>
    <t>CARGHILL</t>
  </si>
  <si>
    <t>ARCOR</t>
  </si>
  <si>
    <t>ADELFA</t>
  </si>
  <si>
    <t>PROTEFILM</t>
  </si>
  <si>
    <t>Film adhesivo</t>
  </si>
  <si>
    <t>MATERFLEX</t>
  </si>
  <si>
    <t>MTL</t>
  </si>
  <si>
    <t>EXPRESIO BRIO</t>
  </si>
  <si>
    <t>BBB EXPRESS</t>
  </si>
  <si>
    <t>TYC</t>
  </si>
  <si>
    <t>CAZ SAS</t>
  </si>
  <si>
    <t>Personal eventual</t>
  </si>
  <si>
    <t>AMSI</t>
  </si>
  <si>
    <t>Código</t>
  </si>
  <si>
    <t>Material</t>
  </si>
  <si>
    <t>Perfil</t>
  </si>
  <si>
    <t>QUI-ENT-MEL</t>
  </si>
  <si>
    <t>Internacional</t>
  </si>
  <si>
    <t>QUI-ENT-FEN</t>
  </si>
  <si>
    <t>QUI-ENT-TRI</t>
  </si>
  <si>
    <t>QUI-ENT-DEG</t>
  </si>
  <si>
    <t>PAP-ENT-PKF</t>
  </si>
  <si>
    <t>QUI-ESK-MEL</t>
  </si>
  <si>
    <t>QUI-ESK-FEN</t>
  </si>
  <si>
    <t>QUI-ESK-TRI</t>
  </si>
  <si>
    <t>PAP-KOT-PKF</t>
  </si>
  <si>
    <t>PAP-PM-PKF</t>
  </si>
  <si>
    <t>Local Insumos</t>
  </si>
  <si>
    <t>PAP-MUN-PDE</t>
  </si>
  <si>
    <t>PAP-CAI-PDE</t>
  </si>
  <si>
    <t>PAP-TEC-PDE</t>
  </si>
  <si>
    <t>QUI-SAS-FEN</t>
  </si>
  <si>
    <t>QUI-ATA-FEN</t>
  </si>
  <si>
    <t>QUI-ARA-FOR</t>
  </si>
  <si>
    <t>QUI-RCO-FOR</t>
  </si>
  <si>
    <t>PAP-NAT-PKF</t>
  </si>
  <si>
    <t>MAD-FAP-MDP</t>
  </si>
  <si>
    <t>MAD-CUP-MDP</t>
  </si>
  <si>
    <t>MAD-VGU-MDF</t>
  </si>
  <si>
    <t>MAD-TRU-MDF</t>
  </si>
  <si>
    <t>QUI-ARA-UFC</t>
  </si>
  <si>
    <t>QUI-RCO-UFC</t>
  </si>
  <si>
    <t>MAD-FIP-CHP</t>
  </si>
  <si>
    <t>MAD-SVR-CHP</t>
  </si>
  <si>
    <t>SCHWARTZ VRENA</t>
  </si>
  <si>
    <t>QUI-INQ-URE</t>
  </si>
  <si>
    <t>QUI-JAL-URE</t>
  </si>
  <si>
    <t>QUI-YPF-URE</t>
  </si>
  <si>
    <t>QUI-DAL-DEG</t>
  </si>
  <si>
    <t>QUI-QOL-DEG</t>
  </si>
  <si>
    <t>ADI-TON-APT</t>
  </si>
  <si>
    <t>TIN-TON-TIN</t>
  </si>
  <si>
    <t>TIN-FLX-TIN</t>
  </si>
  <si>
    <t>TIN-LUM-TIN</t>
  </si>
  <si>
    <t>QUI-POR-ALC</t>
  </si>
  <si>
    <t>QUI-FRA-ALC</t>
  </si>
  <si>
    <t>ADI-SZC-HUM</t>
  </si>
  <si>
    <t>QUI-ENT-ALG</t>
  </si>
  <si>
    <t>QUI-LIA-ALG</t>
  </si>
  <si>
    <t>PAP-GLA-POV</t>
  </si>
  <si>
    <t>PAP-SCH-POV</t>
  </si>
  <si>
    <t>PAP-SCH-PIN</t>
  </si>
  <si>
    <t>PAP-IMP-PIN</t>
  </si>
  <si>
    <t>PAP-SCH-PIM</t>
  </si>
  <si>
    <t>PAP-IMP-PIM</t>
  </si>
  <si>
    <t>QUI-RHO-FEN</t>
  </si>
  <si>
    <t>MAD-SES-CHA</t>
  </si>
  <si>
    <t>Chapas</t>
  </si>
  <si>
    <t>FIL-POL-FUV</t>
  </si>
  <si>
    <t>FIL-ARK-FUV</t>
  </si>
  <si>
    <t>FOI-FER-FAL</t>
  </si>
  <si>
    <t>FOI-FER-FMG</t>
  </si>
  <si>
    <t>Foil magnético</t>
  </si>
  <si>
    <t>ADI-WIZ-ADI</t>
  </si>
  <si>
    <t>ADI-TNS-PR4</t>
  </si>
  <si>
    <t>ADI-LDB-PR4</t>
  </si>
  <si>
    <t>MAD-LDB-PNC</t>
  </si>
  <si>
    <t>MAD-HEB-ROV</t>
  </si>
  <si>
    <t>QUI-KEK-ADH</t>
  </si>
  <si>
    <t>QUI-ART-ADH</t>
  </si>
  <si>
    <t>QUI-CAR-GLU</t>
  </si>
  <si>
    <t>Glucosa</t>
  </si>
  <si>
    <t>QUI-ARC-GLU</t>
  </si>
  <si>
    <t>QUI-ADE-RAC</t>
  </si>
  <si>
    <t>Resina acrílica</t>
  </si>
  <si>
    <t>FIL-MTF-FAD</t>
  </si>
  <si>
    <t>FIL-PTF-FAD</t>
  </si>
  <si>
    <t>SER-MTL-FLE</t>
  </si>
  <si>
    <t>Servicios/Fletes</t>
  </si>
  <si>
    <t>SER-EXB-FLE</t>
  </si>
  <si>
    <t>SER-BBB-FLE</t>
  </si>
  <si>
    <t>SER-TYC-FLE</t>
  </si>
  <si>
    <t>SER-CAZ-PEV</t>
  </si>
  <si>
    <t>SER-AMS-PEV</t>
  </si>
  <si>
    <t>A</t>
  </si>
  <si>
    <t>B</t>
  </si>
  <si>
    <t>C</t>
  </si>
  <si>
    <t>Nivel de criticidad</t>
  </si>
  <si>
    <t>NC</t>
  </si>
  <si>
    <t>DTM</t>
  </si>
  <si>
    <t>ET</t>
  </si>
  <si>
    <t>EI</t>
  </si>
  <si>
    <t>DC</t>
  </si>
  <si>
    <t>OE</t>
  </si>
  <si>
    <t>ART</t>
  </si>
  <si>
    <t>EPP</t>
  </si>
  <si>
    <t>DOC</t>
  </si>
  <si>
    <t>PSA</t>
  </si>
  <si>
    <t>DEM</t>
  </si>
  <si>
    <t>ISO9001</t>
  </si>
  <si>
    <t>ISO14001</t>
  </si>
  <si>
    <t>ST</t>
  </si>
  <si>
    <t>Precio /Cotiz.</t>
  </si>
  <si>
    <t>Financ.</t>
  </si>
  <si>
    <t>Demora docum.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</si>
</sst>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9"/>
      <color theme="0"/>
      <name val="Arial"/>
      <family val="2"/>
    </font>
    <font>
      <b/>
      <sz val="14"/>
      <name val="Arial"/>
      <family val="2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rgb="FF1B365D"/>
      </patternFill>
    </fill>
    <fill>
      <patternFill patternType="solid">
        <fgColor theme="1"/>
        <bgColor rgb="FFE6F0FA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rgb="FFE6F0FA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92370372631"/>
        <bgColor rgb="FF1B365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164" fontId="8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rgb="FF038B06"/>
        </patternFill>
      </fill>
    </dxf>
    <dxf>
      <fill>
        <patternFill>
          <bgColor rgb="FF354CF7"/>
        </patternFill>
      </fill>
    </dxf>
    <dxf>
      <fill>
        <patternFill>
          <bgColor rgb="FFFFCC00"/>
        </patternFill>
      </fill>
    </dxf>
    <dxf>
      <fill>
        <patternFill>
          <bgColor rgb="FFCC0000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CC0000"/>
      <color rgb="FFFFCC00"/>
      <color rgb="FF354CF7"/>
      <color rgb="FF038B06"/>
      <color rgb="FF0A8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19050</xdr:rowOff>
    </xdr:from>
    <xdr:to>
      <xdr:col>14</xdr:col>
      <xdr:colOff>667689</xdr:colOff>
      <xdr:row>9</xdr:row>
      <xdr:rowOff>66948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C5CFB1-6E63-457B-A1E9-8EB37B21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7975" y="19050"/>
          <a:ext cx="6725589" cy="19528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EA189-8056-4E04-AD70-9F9F8746AA91}" name="proveedores" displayName="proveedores" ref="A1:F71" totalsRowShown="0" headerRowDxfId="14" dataDxfId="13">
  <autoFilter ref="A1:F71" xr:uid="{B5CEA189-8056-4E04-AD70-9F9F8746AA91}"/>
  <tableColumns count="6">
    <tableColumn id="1" xr3:uid="{74F52064-FAAC-4632-8F84-B1FB9ADF01A5}" name="Código" dataDxfId="12"/>
    <tableColumn id="2" xr3:uid="{C62CA8AA-E8C7-41F4-9A6E-20985A695C49}" name="Proveedor" dataDxfId="11"/>
    <tableColumn id="3" xr3:uid="{7831B60A-8B83-4BD6-BCA8-1075F7E3A654}" name="Material" dataDxfId="10"/>
    <tableColumn id="4" xr3:uid="{6629A9DE-7460-4145-AF7B-6632EB03B2B4}" name="Perfil" dataDxfId="9"/>
    <tableColumn id="5" xr3:uid="{17DDEB98-23CE-4C15-B23F-50FFEFE4DA63}" name="Criticidad" dataDxfId="8"/>
    <tableColumn id="6" xr3:uid="{05B192E4-03A6-4521-9449-5432BD2CA37D}" name="Nivel de criticidad" dataDxfId="7">
      <calculatedColumnFormula>IF(E2="A","Alta (Tipo A)",
IF(E2="B","Media (Tipo B)",
IF(E2="C","Baja (Tipo C)","")))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2448E-81D8-49B4-9C44-A223BC1F0BC8}" name="cfgPerfil" displayName="cfgPerfil" ref="A1:P4" totalsRowShown="0">
  <autoFilter ref="A1:P4" xr:uid="{AE02448E-81D8-49B4-9C44-A223BC1F0BC8}"/>
  <tableColumns count="16">
    <tableColumn id="1" xr3:uid="{354EEF7E-2D73-4171-94D2-5D7674765AEC}" name="Perfil"/>
    <tableColumn id="2" xr3:uid="{6091698F-4F75-4BDE-9935-275EEA5D859D}" name="NC"/>
    <tableColumn id="3" xr3:uid="{22E5A935-C59B-487A-85E3-89CB87D02923}" name="DTM"/>
    <tableColumn id="4" xr3:uid="{BA64A2F6-A711-4A2C-8C76-A41CB9411722}" name="ET"/>
    <tableColumn id="5" xr3:uid="{F24BF907-04B3-4937-8AA0-957CA4D8765F}" name="EI"/>
    <tableColumn id="6" xr3:uid="{1779681F-B019-4FB8-ABF8-97C2F342EED0}" name="DC"/>
    <tableColumn id="7" xr3:uid="{A7D7ECD3-16F1-4AC3-9242-489437FD1DA8}" name="OE"/>
    <tableColumn id="8" xr3:uid="{61A1AD30-4BC2-449B-85E9-D213B9081A39}" name="ART"/>
    <tableColumn id="9" xr3:uid="{AD06CF76-7F48-438C-9FBF-52FA8226AE69}" name="EPP"/>
    <tableColumn id="10" xr3:uid="{C2E742CE-E4C0-44F0-ACBA-FB8555369C48}" name="DOC"/>
    <tableColumn id="11" xr3:uid="{93434BC2-5A5C-41F3-91EC-5951498DD757}" name="PSA"/>
    <tableColumn id="12" xr3:uid="{800DE7BF-0797-4211-B7E9-732DE180B00F}" name="DEM"/>
    <tableColumn id="13" xr3:uid="{DCBB4F57-35E4-4231-8E0F-FD8C36049288}" name="ISO9001"/>
    <tableColumn id="14" xr3:uid="{B076B453-E7F0-44FA-B72B-652895B06DAE}" name="FSC"/>
    <tableColumn id="15" xr3:uid="{6FECFB6B-2C30-4078-A3F5-DCC5B0DF5CD4}" name="ISO14001"/>
    <tableColumn id="16" xr3:uid="{BA81FF54-0701-41B7-94E8-62B27F21C222}" name="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A16" sqref="A16"/>
    </sheetView>
  </sheetViews>
  <sheetFormatPr baseColWidth="10" defaultColWidth="9.1640625" defaultRowHeight="15" x14ac:dyDescent="0.2"/>
  <cols>
    <col min="1" max="1" width="30.1640625" customWidth="1"/>
    <col min="2" max="2" width="20" bestFit="1" customWidth="1"/>
    <col min="3" max="3" width="19.5" bestFit="1" customWidth="1"/>
    <col min="4" max="4" width="21.5" bestFit="1" customWidth="1"/>
  </cols>
  <sheetData>
    <row r="1" spans="1:4" ht="18" x14ac:dyDescent="0.2">
      <c r="A1" s="10" t="s">
        <v>0</v>
      </c>
    </row>
    <row r="3" spans="1:4" x14ac:dyDescent="0.2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2">
      <c r="A4" s="6" t="s">
        <v>5</v>
      </c>
      <c r="B4" s="1" t="s">
        <v>6</v>
      </c>
      <c r="C4" s="1" t="s">
        <v>7</v>
      </c>
      <c r="D4" s="1" t="s">
        <v>8</v>
      </c>
    </row>
    <row r="5" spans="1:4" x14ac:dyDescent="0.2">
      <c r="A5" s="6" t="s">
        <v>9</v>
      </c>
      <c r="B5" s="1" t="s">
        <v>7</v>
      </c>
      <c r="C5" s="1" t="s">
        <v>10</v>
      </c>
      <c r="D5" s="1" t="s">
        <v>11</v>
      </c>
    </row>
    <row r="6" spans="1:4" x14ac:dyDescent="0.2">
      <c r="A6" s="6" t="s">
        <v>12</v>
      </c>
      <c r="B6" s="1" t="s">
        <v>8</v>
      </c>
      <c r="C6" s="1" t="s">
        <v>13</v>
      </c>
      <c r="D6" s="1" t="s">
        <v>7</v>
      </c>
    </row>
    <row r="7" spans="1:4" x14ac:dyDescent="0.2">
      <c r="A7" s="6" t="s">
        <v>14</v>
      </c>
      <c r="B7" s="1" t="s">
        <v>15</v>
      </c>
      <c r="C7" s="1" t="s">
        <v>13</v>
      </c>
      <c r="D7" s="1" t="s">
        <v>15</v>
      </c>
    </row>
    <row r="8" spans="1:4" x14ac:dyDescent="0.2">
      <c r="A8" s="6" t="s">
        <v>16</v>
      </c>
      <c r="B8" s="1" t="s">
        <v>17</v>
      </c>
      <c r="C8" s="1" t="s">
        <v>13</v>
      </c>
      <c r="D8" s="1" t="s">
        <v>8</v>
      </c>
    </row>
    <row r="9" spans="1:4" x14ac:dyDescent="0.2">
      <c r="A9" s="7" t="s">
        <v>18</v>
      </c>
      <c r="B9" s="8" t="s">
        <v>19</v>
      </c>
      <c r="C9" s="8" t="s">
        <v>19</v>
      </c>
      <c r="D9" s="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B664-2E8B-44CE-8DA8-AE484800B7A9}">
  <dimension ref="A1:F71"/>
  <sheetViews>
    <sheetView workbookViewId="0">
      <selection activeCell="D43" sqref="D43"/>
    </sheetView>
  </sheetViews>
  <sheetFormatPr baseColWidth="10" defaultRowHeight="15" x14ac:dyDescent="0.2"/>
  <cols>
    <col min="1" max="1" width="14.5" bestFit="1" customWidth="1"/>
    <col min="2" max="2" width="21.6640625" bestFit="1" customWidth="1"/>
    <col min="3" max="3" width="20.1640625" bestFit="1" customWidth="1"/>
    <col min="4" max="4" width="15.1640625" bestFit="1" customWidth="1"/>
    <col min="5" max="5" width="13.83203125" customWidth="1"/>
    <col min="6" max="6" width="13.83203125" bestFit="1" customWidth="1"/>
  </cols>
  <sheetData>
    <row r="1" spans="1:6" s="16" customFormat="1" ht="32" x14ac:dyDescent="0.2">
      <c r="A1" s="16" t="s">
        <v>129</v>
      </c>
      <c r="B1" s="16" t="s">
        <v>21</v>
      </c>
      <c r="C1" s="16" t="s">
        <v>130</v>
      </c>
      <c r="D1" s="16" t="s">
        <v>131</v>
      </c>
      <c r="E1" s="16" t="s">
        <v>22</v>
      </c>
      <c r="F1" s="16" t="s">
        <v>213</v>
      </c>
    </row>
    <row r="2" spans="1:6" x14ac:dyDescent="0.2">
      <c r="A2" s="13" t="s">
        <v>132</v>
      </c>
      <c r="B2" s="13" t="s">
        <v>49</v>
      </c>
      <c r="C2" s="13" t="s">
        <v>26</v>
      </c>
      <c r="D2" s="13" t="s">
        <v>133</v>
      </c>
      <c r="E2" s="13" t="s">
        <v>210</v>
      </c>
      <c r="F2" s="13" t="str">
        <f t="shared" ref="F2:F33" si="0">IF(E2="A","Alta (Tipo A)",
IF(E2="B","Media (Tipo B)",
IF(E2="C","Baja (Tipo C)","")))</f>
        <v>Alta (Tipo A)</v>
      </c>
    </row>
    <row r="3" spans="1:6" x14ac:dyDescent="0.2">
      <c r="A3" s="13" t="s">
        <v>134</v>
      </c>
      <c r="B3" s="13" t="s">
        <v>49</v>
      </c>
      <c r="C3" s="13" t="s">
        <v>50</v>
      </c>
      <c r="D3" s="13" t="s">
        <v>133</v>
      </c>
      <c r="E3" s="13" t="s">
        <v>210</v>
      </c>
      <c r="F3" s="13" t="str">
        <f t="shared" si="0"/>
        <v>Alta (Tipo A)</v>
      </c>
    </row>
    <row r="4" spans="1:6" x14ac:dyDescent="0.2">
      <c r="A4" s="13" t="s">
        <v>135</v>
      </c>
      <c r="B4" s="13" t="s">
        <v>49</v>
      </c>
      <c r="C4" s="13" t="s">
        <v>51</v>
      </c>
      <c r="D4" s="13" t="s">
        <v>133</v>
      </c>
      <c r="E4" s="13" t="s">
        <v>210</v>
      </c>
      <c r="F4" s="13" t="str">
        <f t="shared" si="0"/>
        <v>Alta (Tipo A)</v>
      </c>
    </row>
    <row r="5" spans="1:6" x14ac:dyDescent="0.2">
      <c r="A5" s="13" t="s">
        <v>136</v>
      </c>
      <c r="B5" s="13" t="s">
        <v>49</v>
      </c>
      <c r="C5" s="13" t="s">
        <v>52</v>
      </c>
      <c r="D5" s="13" t="s">
        <v>133</v>
      </c>
      <c r="E5" s="13" t="s">
        <v>210</v>
      </c>
      <c r="F5" s="13" t="str">
        <f t="shared" si="0"/>
        <v>Alta (Tipo A)</v>
      </c>
    </row>
    <row r="6" spans="1:6" x14ac:dyDescent="0.2">
      <c r="A6" s="13" t="s">
        <v>137</v>
      </c>
      <c r="B6" s="13" t="s">
        <v>49</v>
      </c>
      <c r="C6" s="13" t="s">
        <v>58</v>
      </c>
      <c r="D6" s="13" t="s">
        <v>133</v>
      </c>
      <c r="E6" s="13" t="s">
        <v>210</v>
      </c>
      <c r="F6" s="13" t="str">
        <f t="shared" si="0"/>
        <v>Alta (Tipo A)</v>
      </c>
    </row>
    <row r="7" spans="1:6" x14ac:dyDescent="0.2">
      <c r="A7" s="13" t="s">
        <v>138</v>
      </c>
      <c r="B7" s="13" t="s">
        <v>53</v>
      </c>
      <c r="C7" s="13" t="s">
        <v>26</v>
      </c>
      <c r="D7" s="13" t="s">
        <v>133</v>
      </c>
      <c r="E7" s="13" t="s">
        <v>210</v>
      </c>
      <c r="F7" s="13" t="str">
        <f t="shared" si="0"/>
        <v>Alta (Tipo A)</v>
      </c>
    </row>
    <row r="8" spans="1:6" x14ac:dyDescent="0.2">
      <c r="A8" s="13" t="s">
        <v>139</v>
      </c>
      <c r="B8" s="13" t="s">
        <v>53</v>
      </c>
      <c r="C8" s="13" t="s">
        <v>50</v>
      </c>
      <c r="D8" s="13" t="s">
        <v>133</v>
      </c>
      <c r="E8" s="13" t="s">
        <v>210</v>
      </c>
      <c r="F8" s="13" t="str">
        <f t="shared" si="0"/>
        <v>Alta (Tipo A)</v>
      </c>
    </row>
    <row r="9" spans="1:6" x14ac:dyDescent="0.2">
      <c r="A9" s="13" t="s">
        <v>140</v>
      </c>
      <c r="B9" s="13" t="s">
        <v>53</v>
      </c>
      <c r="C9" s="13" t="s">
        <v>51</v>
      </c>
      <c r="D9" s="13" t="s">
        <v>133</v>
      </c>
      <c r="E9" s="13" t="s">
        <v>210</v>
      </c>
      <c r="F9" s="13" t="str">
        <f t="shared" si="0"/>
        <v>Alta (Tipo A)</v>
      </c>
    </row>
    <row r="10" spans="1:6" x14ac:dyDescent="0.2">
      <c r="A10" s="13" t="s">
        <v>141</v>
      </c>
      <c r="B10" s="13" t="s">
        <v>29</v>
      </c>
      <c r="C10" s="13" t="s">
        <v>58</v>
      </c>
      <c r="D10" s="13" t="s">
        <v>133</v>
      </c>
      <c r="E10" s="13" t="s">
        <v>210</v>
      </c>
      <c r="F10" s="13" t="str">
        <f t="shared" si="0"/>
        <v>Alta (Tipo A)</v>
      </c>
    </row>
    <row r="11" spans="1:6" x14ac:dyDescent="0.2">
      <c r="A11" s="13" t="s">
        <v>142</v>
      </c>
      <c r="B11" s="13" t="s">
        <v>59</v>
      </c>
      <c r="C11" s="13" t="s">
        <v>58</v>
      </c>
      <c r="D11" s="13" t="s">
        <v>143</v>
      </c>
      <c r="E11" s="13" t="s">
        <v>210</v>
      </c>
      <c r="F11" s="13" t="str">
        <f t="shared" si="0"/>
        <v>Alta (Tipo A)</v>
      </c>
    </row>
    <row r="12" spans="1:6" x14ac:dyDescent="0.2">
      <c r="A12" s="13" t="s">
        <v>144</v>
      </c>
      <c r="B12" s="13" t="s">
        <v>54</v>
      </c>
      <c r="C12" s="13" t="s">
        <v>55</v>
      </c>
      <c r="D12" s="13" t="s">
        <v>133</v>
      </c>
      <c r="E12" s="13" t="s">
        <v>210</v>
      </c>
      <c r="F12" s="13" t="str">
        <f t="shared" si="0"/>
        <v>Alta (Tipo A)</v>
      </c>
    </row>
    <row r="13" spans="1:6" x14ac:dyDescent="0.2">
      <c r="A13" s="13" t="s">
        <v>145</v>
      </c>
      <c r="B13" s="13" t="s">
        <v>56</v>
      </c>
      <c r="C13" s="13" t="s">
        <v>55</v>
      </c>
      <c r="D13" s="13" t="s">
        <v>143</v>
      </c>
      <c r="E13" s="13" t="s">
        <v>210</v>
      </c>
      <c r="F13" s="13" t="str">
        <f t="shared" si="0"/>
        <v>Alta (Tipo A)</v>
      </c>
    </row>
    <row r="14" spans="1:6" x14ac:dyDescent="0.2">
      <c r="A14" s="13" t="s">
        <v>146</v>
      </c>
      <c r="B14" s="13" t="s">
        <v>57</v>
      </c>
      <c r="C14" s="13" t="s">
        <v>55</v>
      </c>
      <c r="D14" s="13" t="s">
        <v>133</v>
      </c>
      <c r="E14" s="13" t="s">
        <v>210</v>
      </c>
      <c r="F14" s="13" t="str">
        <f t="shared" si="0"/>
        <v>Alta (Tipo A)</v>
      </c>
    </row>
    <row r="15" spans="1:6" x14ac:dyDescent="0.2">
      <c r="A15" s="13" t="s">
        <v>147</v>
      </c>
      <c r="B15" s="13" t="s">
        <v>60</v>
      </c>
      <c r="C15" s="13" t="s">
        <v>50</v>
      </c>
      <c r="D15" s="13" t="s">
        <v>133</v>
      </c>
      <c r="E15" s="13" t="s">
        <v>210</v>
      </c>
      <c r="F15" s="13" t="str">
        <f t="shared" si="0"/>
        <v>Alta (Tipo A)</v>
      </c>
    </row>
    <row r="16" spans="1:6" x14ac:dyDescent="0.2">
      <c r="A16" s="13" t="s">
        <v>148</v>
      </c>
      <c r="B16" s="13" t="s">
        <v>61</v>
      </c>
      <c r="C16" s="13" t="s">
        <v>50</v>
      </c>
      <c r="D16" s="13" t="s">
        <v>143</v>
      </c>
      <c r="E16" s="13" t="s">
        <v>210</v>
      </c>
      <c r="F16" s="13" t="str">
        <f t="shared" si="0"/>
        <v>Alta (Tipo A)</v>
      </c>
    </row>
    <row r="17" spans="1:6" x14ac:dyDescent="0.2">
      <c r="A17" s="13" t="s">
        <v>149</v>
      </c>
      <c r="B17" s="13" t="s">
        <v>62</v>
      </c>
      <c r="C17" s="13" t="s">
        <v>28</v>
      </c>
      <c r="D17" s="13" t="s">
        <v>143</v>
      </c>
      <c r="E17" s="13" t="s">
        <v>210</v>
      </c>
      <c r="F17" s="13" t="str">
        <f t="shared" si="0"/>
        <v>Alta (Tipo A)</v>
      </c>
    </row>
    <row r="18" spans="1:6" x14ac:dyDescent="0.2">
      <c r="A18" s="13" t="s">
        <v>150</v>
      </c>
      <c r="B18" s="13" t="s">
        <v>63</v>
      </c>
      <c r="C18" s="13" t="s">
        <v>28</v>
      </c>
      <c r="D18" s="13" t="s">
        <v>143</v>
      </c>
      <c r="E18" s="13" t="s">
        <v>210</v>
      </c>
      <c r="F18" s="13" t="str">
        <f t="shared" si="0"/>
        <v>Alta (Tipo A)</v>
      </c>
    </row>
    <row r="19" spans="1:6" x14ac:dyDescent="0.2">
      <c r="A19" s="13" t="s">
        <v>151</v>
      </c>
      <c r="B19" s="13" t="s">
        <v>64</v>
      </c>
      <c r="C19" s="13" t="s">
        <v>58</v>
      </c>
      <c r="D19" s="13" t="s">
        <v>133</v>
      </c>
      <c r="E19" s="13" t="s">
        <v>210</v>
      </c>
      <c r="F19" s="13" t="str">
        <f t="shared" si="0"/>
        <v>Alta (Tipo A)</v>
      </c>
    </row>
    <row r="20" spans="1:6" x14ac:dyDescent="0.2">
      <c r="A20" s="13" t="s">
        <v>152</v>
      </c>
      <c r="B20" s="13" t="s">
        <v>65</v>
      </c>
      <c r="C20" s="13" t="s">
        <v>66</v>
      </c>
      <c r="D20" s="13" t="s">
        <v>143</v>
      </c>
      <c r="E20" s="13" t="s">
        <v>210</v>
      </c>
      <c r="F20" s="13" t="str">
        <f t="shared" si="0"/>
        <v>Alta (Tipo A)</v>
      </c>
    </row>
    <row r="21" spans="1:6" x14ac:dyDescent="0.2">
      <c r="A21" s="13" t="s">
        <v>153</v>
      </c>
      <c r="B21" s="13" t="s">
        <v>67</v>
      </c>
      <c r="C21" s="13" t="s">
        <v>66</v>
      </c>
      <c r="D21" s="13" t="s">
        <v>143</v>
      </c>
      <c r="E21" s="13" t="s">
        <v>210</v>
      </c>
      <c r="F21" s="13" t="str">
        <f t="shared" si="0"/>
        <v>Alta (Tipo A)</v>
      </c>
    </row>
    <row r="22" spans="1:6" x14ac:dyDescent="0.2">
      <c r="A22" s="13" t="s">
        <v>154</v>
      </c>
      <c r="B22" s="13" t="s">
        <v>68</v>
      </c>
      <c r="C22" s="13" t="s">
        <v>69</v>
      </c>
      <c r="D22" s="13" t="s">
        <v>143</v>
      </c>
      <c r="E22" s="13" t="s">
        <v>210</v>
      </c>
      <c r="F22" s="13" t="str">
        <f t="shared" si="0"/>
        <v>Alta (Tipo A)</v>
      </c>
    </row>
    <row r="23" spans="1:6" x14ac:dyDescent="0.2">
      <c r="A23" s="13" t="s">
        <v>155</v>
      </c>
      <c r="B23" s="13" t="s">
        <v>70</v>
      </c>
      <c r="C23" s="13" t="s">
        <v>69</v>
      </c>
      <c r="D23" s="13" t="s">
        <v>143</v>
      </c>
      <c r="E23" s="13" t="s">
        <v>210</v>
      </c>
      <c r="F23" s="13" t="str">
        <f t="shared" si="0"/>
        <v>Alta (Tipo A)</v>
      </c>
    </row>
    <row r="24" spans="1:6" x14ac:dyDescent="0.2">
      <c r="A24" s="13" t="s">
        <v>156</v>
      </c>
      <c r="B24" s="13" t="s">
        <v>62</v>
      </c>
      <c r="C24" s="13" t="s">
        <v>71</v>
      </c>
      <c r="D24" s="13" t="s">
        <v>143</v>
      </c>
      <c r="E24" s="13" t="s">
        <v>210</v>
      </c>
      <c r="F24" s="13" t="str">
        <f t="shared" si="0"/>
        <v>Alta (Tipo A)</v>
      </c>
    </row>
    <row r="25" spans="1:6" x14ac:dyDescent="0.2">
      <c r="A25" s="13" t="s">
        <v>157</v>
      </c>
      <c r="B25" s="13" t="s">
        <v>63</v>
      </c>
      <c r="C25" s="13" t="s">
        <v>71</v>
      </c>
      <c r="D25" s="13" t="s">
        <v>143</v>
      </c>
      <c r="E25" s="13" t="s">
        <v>210</v>
      </c>
      <c r="F25" s="13" t="str">
        <f t="shared" si="0"/>
        <v>Alta (Tipo A)</v>
      </c>
    </row>
    <row r="26" spans="1:6" x14ac:dyDescent="0.2">
      <c r="A26" s="13" t="s">
        <v>158</v>
      </c>
      <c r="B26" s="13" t="s">
        <v>72</v>
      </c>
      <c r="C26" s="13" t="s">
        <v>73</v>
      </c>
      <c r="D26" s="13" t="s">
        <v>143</v>
      </c>
      <c r="E26" s="13" t="s">
        <v>210</v>
      </c>
      <c r="F26" s="13" t="str">
        <f t="shared" si="0"/>
        <v>Alta (Tipo A)</v>
      </c>
    </row>
    <row r="27" spans="1:6" x14ac:dyDescent="0.2">
      <c r="A27" s="13" t="s">
        <v>159</v>
      </c>
      <c r="B27" s="13" t="s">
        <v>160</v>
      </c>
      <c r="C27" s="13" t="s">
        <v>73</v>
      </c>
      <c r="D27" s="13" t="s">
        <v>133</v>
      </c>
      <c r="E27" s="13" t="s">
        <v>210</v>
      </c>
      <c r="F27" s="13" t="str">
        <f t="shared" si="0"/>
        <v>Alta (Tipo A)</v>
      </c>
    </row>
    <row r="28" spans="1:6" x14ac:dyDescent="0.2">
      <c r="A28" s="13" t="s">
        <v>161</v>
      </c>
      <c r="B28" s="13" t="s">
        <v>74</v>
      </c>
      <c r="C28" s="13" t="s">
        <v>75</v>
      </c>
      <c r="D28" s="13" t="s">
        <v>143</v>
      </c>
      <c r="E28" s="13" t="s">
        <v>210</v>
      </c>
      <c r="F28" s="13" t="str">
        <f t="shared" si="0"/>
        <v>Alta (Tipo A)</v>
      </c>
    </row>
    <row r="29" spans="1:6" x14ac:dyDescent="0.2">
      <c r="A29" s="13" t="s">
        <v>162</v>
      </c>
      <c r="B29" s="13" t="s">
        <v>76</v>
      </c>
      <c r="C29" s="13" t="s">
        <v>75</v>
      </c>
      <c r="D29" s="13" t="s">
        <v>143</v>
      </c>
      <c r="E29" s="13" t="s">
        <v>210</v>
      </c>
      <c r="F29" s="13" t="str">
        <f t="shared" si="0"/>
        <v>Alta (Tipo A)</v>
      </c>
    </row>
    <row r="30" spans="1:6" x14ac:dyDescent="0.2">
      <c r="A30" s="13" t="s">
        <v>163</v>
      </c>
      <c r="B30" s="13" t="s">
        <v>77</v>
      </c>
      <c r="C30" s="13" t="s">
        <v>75</v>
      </c>
      <c r="D30" s="13" t="s">
        <v>143</v>
      </c>
      <c r="E30" s="13" t="s">
        <v>210</v>
      </c>
      <c r="F30" s="13" t="str">
        <f t="shared" si="0"/>
        <v>Alta (Tipo A)</v>
      </c>
    </row>
    <row r="31" spans="1:6" x14ac:dyDescent="0.2">
      <c r="A31" s="13" t="s">
        <v>164</v>
      </c>
      <c r="B31" s="13" t="s">
        <v>78</v>
      </c>
      <c r="C31" s="13" t="s">
        <v>52</v>
      </c>
      <c r="D31" s="13" t="s">
        <v>143</v>
      </c>
      <c r="E31" s="13" t="s">
        <v>210</v>
      </c>
      <c r="F31" s="13" t="str">
        <f t="shared" si="0"/>
        <v>Alta (Tipo A)</v>
      </c>
    </row>
    <row r="32" spans="1:6" x14ac:dyDescent="0.2">
      <c r="A32" s="13" t="s">
        <v>165</v>
      </c>
      <c r="B32" s="13" t="s">
        <v>79</v>
      </c>
      <c r="C32" s="13" t="s">
        <v>52</v>
      </c>
      <c r="D32" s="13" t="s">
        <v>143</v>
      </c>
      <c r="E32" s="13" t="s">
        <v>210</v>
      </c>
      <c r="F32" s="13" t="str">
        <f t="shared" si="0"/>
        <v>Alta (Tipo A)</v>
      </c>
    </row>
    <row r="33" spans="1:6" x14ac:dyDescent="0.2">
      <c r="A33" s="13" t="s">
        <v>166</v>
      </c>
      <c r="B33" s="13" t="s">
        <v>81</v>
      </c>
      <c r="C33" s="13" t="s">
        <v>80</v>
      </c>
      <c r="D33" s="13" t="s">
        <v>143</v>
      </c>
      <c r="E33" s="13" t="s">
        <v>210</v>
      </c>
      <c r="F33" s="13" t="str">
        <f t="shared" si="0"/>
        <v>Alta (Tipo A)</v>
      </c>
    </row>
    <row r="34" spans="1:6" x14ac:dyDescent="0.2">
      <c r="A34" s="13" t="s">
        <v>167</v>
      </c>
      <c r="B34" s="13" t="s">
        <v>81</v>
      </c>
      <c r="C34" s="13" t="s">
        <v>82</v>
      </c>
      <c r="D34" s="13" t="s">
        <v>143</v>
      </c>
      <c r="E34" s="13" t="s">
        <v>210</v>
      </c>
      <c r="F34" s="13" t="str">
        <f t="shared" ref="F34:F65" si="1">IF(E34="A","Alta (Tipo A)",
IF(E34="B","Media (Tipo B)",
IF(E34="C","Baja (Tipo C)","")))</f>
        <v>Alta (Tipo A)</v>
      </c>
    </row>
    <row r="35" spans="1:6" x14ac:dyDescent="0.2">
      <c r="A35" s="13" t="s">
        <v>168</v>
      </c>
      <c r="B35" s="13" t="s">
        <v>83</v>
      </c>
      <c r="C35" s="13" t="s">
        <v>82</v>
      </c>
      <c r="D35" s="13" t="s">
        <v>143</v>
      </c>
      <c r="E35" s="13" t="s">
        <v>210</v>
      </c>
      <c r="F35" s="13" t="str">
        <f t="shared" si="1"/>
        <v>Alta (Tipo A)</v>
      </c>
    </row>
    <row r="36" spans="1:6" x14ac:dyDescent="0.2">
      <c r="A36" s="13" t="s">
        <v>169</v>
      </c>
      <c r="B36" s="13" t="s">
        <v>84</v>
      </c>
      <c r="C36" s="13" t="s">
        <v>82</v>
      </c>
      <c r="D36" s="13" t="s">
        <v>143</v>
      </c>
      <c r="E36" s="13" t="s">
        <v>210</v>
      </c>
      <c r="F36" s="13" t="str">
        <f t="shared" si="1"/>
        <v>Alta (Tipo A)</v>
      </c>
    </row>
    <row r="37" spans="1:6" x14ac:dyDescent="0.2">
      <c r="A37" s="13" t="s">
        <v>170</v>
      </c>
      <c r="B37" s="13" t="s">
        <v>86</v>
      </c>
      <c r="C37" s="13" t="s">
        <v>85</v>
      </c>
      <c r="D37" s="13" t="s">
        <v>143</v>
      </c>
      <c r="E37" s="13" t="s">
        <v>210</v>
      </c>
      <c r="F37" s="13" t="str">
        <f t="shared" si="1"/>
        <v>Alta (Tipo A)</v>
      </c>
    </row>
    <row r="38" spans="1:6" x14ac:dyDescent="0.2">
      <c r="A38" s="13" t="s">
        <v>171</v>
      </c>
      <c r="B38" s="13" t="s">
        <v>87</v>
      </c>
      <c r="C38" s="13" t="s">
        <v>85</v>
      </c>
      <c r="D38" s="13" t="s">
        <v>143</v>
      </c>
      <c r="E38" s="13" t="s">
        <v>210</v>
      </c>
      <c r="F38" s="13" t="str">
        <f t="shared" si="1"/>
        <v>Alta (Tipo A)</v>
      </c>
    </row>
    <row r="39" spans="1:6" x14ac:dyDescent="0.2">
      <c r="A39" s="13" t="s">
        <v>172</v>
      </c>
      <c r="B39" s="13" t="s">
        <v>88</v>
      </c>
      <c r="C39" s="13" t="s">
        <v>89</v>
      </c>
      <c r="D39" s="13" t="s">
        <v>143</v>
      </c>
      <c r="E39" s="13" t="s">
        <v>210</v>
      </c>
      <c r="F39" s="13" t="str">
        <f t="shared" si="1"/>
        <v>Alta (Tipo A)</v>
      </c>
    </row>
    <row r="40" spans="1:6" x14ac:dyDescent="0.2">
      <c r="A40" s="13" t="s">
        <v>173</v>
      </c>
      <c r="B40" s="13" t="s">
        <v>49</v>
      </c>
      <c r="C40" s="13" t="s">
        <v>90</v>
      </c>
      <c r="D40" s="13" t="s">
        <v>133</v>
      </c>
      <c r="E40" s="13" t="s">
        <v>210</v>
      </c>
      <c r="F40" s="13" t="str">
        <f t="shared" si="1"/>
        <v>Alta (Tipo A)</v>
      </c>
    </row>
    <row r="41" spans="1:6" x14ac:dyDescent="0.2">
      <c r="A41" s="13" t="s">
        <v>174</v>
      </c>
      <c r="B41" s="13" t="s">
        <v>91</v>
      </c>
      <c r="C41" s="13" t="s">
        <v>90</v>
      </c>
      <c r="D41" s="13" t="s">
        <v>133</v>
      </c>
      <c r="E41" s="13" t="s">
        <v>210</v>
      </c>
      <c r="F41" s="13" t="str">
        <f t="shared" si="1"/>
        <v>Alta (Tipo A)</v>
      </c>
    </row>
    <row r="42" spans="1:6" x14ac:dyDescent="0.2">
      <c r="A42" s="13" t="s">
        <v>175</v>
      </c>
      <c r="B42" s="13" t="s">
        <v>93</v>
      </c>
      <c r="C42" s="13" t="s">
        <v>92</v>
      </c>
      <c r="D42" s="13" t="s">
        <v>133</v>
      </c>
      <c r="E42" s="13" t="s">
        <v>210</v>
      </c>
      <c r="F42" s="13" t="str">
        <f t="shared" si="1"/>
        <v>Alta (Tipo A)</v>
      </c>
    </row>
    <row r="43" spans="1:6" x14ac:dyDescent="0.2">
      <c r="A43" s="13" t="s">
        <v>176</v>
      </c>
      <c r="B43" s="13" t="s">
        <v>94</v>
      </c>
      <c r="C43" s="13" t="s">
        <v>92</v>
      </c>
      <c r="D43" s="13" t="s">
        <v>143</v>
      </c>
      <c r="E43" s="13" t="s">
        <v>210</v>
      </c>
      <c r="F43" s="13" t="str">
        <f t="shared" si="1"/>
        <v>Alta (Tipo A)</v>
      </c>
    </row>
    <row r="44" spans="1:6" x14ac:dyDescent="0.2">
      <c r="A44" s="13" t="s">
        <v>177</v>
      </c>
      <c r="B44" s="13" t="s">
        <v>94</v>
      </c>
      <c r="C44" s="13" t="s">
        <v>95</v>
      </c>
      <c r="D44" s="13" t="s">
        <v>143</v>
      </c>
      <c r="E44" s="13" t="s">
        <v>210</v>
      </c>
      <c r="F44" s="13" t="str">
        <f t="shared" si="1"/>
        <v>Alta (Tipo A)</v>
      </c>
    </row>
    <row r="45" spans="1:6" x14ac:dyDescent="0.2">
      <c r="A45" s="13" t="s">
        <v>178</v>
      </c>
      <c r="B45" s="13" t="s">
        <v>96</v>
      </c>
      <c r="C45" s="13" t="s">
        <v>95</v>
      </c>
      <c r="D45" s="13" t="s">
        <v>143</v>
      </c>
      <c r="E45" s="13" t="s">
        <v>210</v>
      </c>
      <c r="F45" s="13" t="str">
        <f t="shared" si="1"/>
        <v>Alta (Tipo A)</v>
      </c>
    </row>
    <row r="46" spans="1:6" x14ac:dyDescent="0.2">
      <c r="A46" s="13" t="s">
        <v>179</v>
      </c>
      <c r="B46" s="13" t="s">
        <v>94</v>
      </c>
      <c r="C46" s="13" t="s">
        <v>97</v>
      </c>
      <c r="D46" s="13" t="s">
        <v>143</v>
      </c>
      <c r="E46" s="13" t="s">
        <v>210</v>
      </c>
      <c r="F46" s="13" t="str">
        <f t="shared" si="1"/>
        <v>Alta (Tipo A)</v>
      </c>
    </row>
    <row r="47" spans="1:6" x14ac:dyDescent="0.2">
      <c r="A47" s="13" t="s">
        <v>180</v>
      </c>
      <c r="B47" s="13" t="s">
        <v>96</v>
      </c>
      <c r="C47" s="13" t="s">
        <v>97</v>
      </c>
      <c r="D47" s="13" t="s">
        <v>143</v>
      </c>
      <c r="E47" s="13" t="s">
        <v>210</v>
      </c>
      <c r="F47" s="13" t="str">
        <f t="shared" si="1"/>
        <v>Alta (Tipo A)</v>
      </c>
    </row>
    <row r="48" spans="1:6" x14ac:dyDescent="0.2">
      <c r="A48" s="13" t="s">
        <v>181</v>
      </c>
      <c r="B48" s="13" t="s">
        <v>98</v>
      </c>
      <c r="C48" s="13" t="s">
        <v>50</v>
      </c>
      <c r="D48" s="13" t="s">
        <v>143</v>
      </c>
      <c r="E48" s="13" t="s">
        <v>210</v>
      </c>
      <c r="F48" s="13" t="str">
        <f t="shared" si="1"/>
        <v>Alta (Tipo A)</v>
      </c>
    </row>
    <row r="49" spans="1:6" x14ac:dyDescent="0.2">
      <c r="A49" s="13" t="s">
        <v>182</v>
      </c>
      <c r="B49" s="13" t="s">
        <v>99</v>
      </c>
      <c r="C49" s="13" t="s">
        <v>183</v>
      </c>
      <c r="D49" s="13" t="s">
        <v>133</v>
      </c>
      <c r="E49" s="13" t="s">
        <v>210</v>
      </c>
      <c r="F49" s="13" t="str">
        <f t="shared" si="1"/>
        <v>Alta (Tipo A)</v>
      </c>
    </row>
    <row r="50" spans="1:6" x14ac:dyDescent="0.2">
      <c r="A50" s="13" t="s">
        <v>184</v>
      </c>
      <c r="B50" s="13" t="s">
        <v>100</v>
      </c>
      <c r="C50" s="13" t="s">
        <v>101</v>
      </c>
      <c r="D50" s="13" t="s">
        <v>133</v>
      </c>
      <c r="E50" s="13" t="s">
        <v>210</v>
      </c>
      <c r="F50" s="13" t="str">
        <f t="shared" si="1"/>
        <v>Alta (Tipo A)</v>
      </c>
    </row>
    <row r="51" spans="1:6" x14ac:dyDescent="0.2">
      <c r="A51" s="13" t="s">
        <v>185</v>
      </c>
      <c r="B51" s="13" t="s">
        <v>102</v>
      </c>
      <c r="C51" s="13" t="s">
        <v>101</v>
      </c>
      <c r="D51" s="13" t="s">
        <v>143</v>
      </c>
      <c r="E51" s="13" t="s">
        <v>210</v>
      </c>
      <c r="F51" s="13" t="str">
        <f t="shared" si="1"/>
        <v>Alta (Tipo A)</v>
      </c>
    </row>
    <row r="52" spans="1:6" x14ac:dyDescent="0.2">
      <c r="A52" s="13" t="s">
        <v>186</v>
      </c>
      <c r="B52" s="13" t="s">
        <v>103</v>
      </c>
      <c r="C52" s="13" t="s">
        <v>104</v>
      </c>
      <c r="D52" s="13" t="s">
        <v>133</v>
      </c>
      <c r="E52" s="13" t="s">
        <v>210</v>
      </c>
      <c r="F52" s="13" t="str">
        <f t="shared" si="1"/>
        <v>Alta (Tipo A)</v>
      </c>
    </row>
    <row r="53" spans="1:6" x14ac:dyDescent="0.2">
      <c r="A53" s="13" t="s">
        <v>187</v>
      </c>
      <c r="B53" s="13" t="s">
        <v>103</v>
      </c>
      <c r="C53" s="13" t="s">
        <v>188</v>
      </c>
      <c r="D53" s="13" t="s">
        <v>133</v>
      </c>
      <c r="E53" s="13" t="s">
        <v>210</v>
      </c>
      <c r="F53" s="13" t="str">
        <f t="shared" si="1"/>
        <v>Alta (Tipo A)</v>
      </c>
    </row>
    <row r="54" spans="1:6" x14ac:dyDescent="0.2">
      <c r="A54" s="13" t="s">
        <v>189</v>
      </c>
      <c r="B54" s="13" t="s">
        <v>105</v>
      </c>
      <c r="C54" s="13" t="s">
        <v>106</v>
      </c>
      <c r="D54" s="13" t="s">
        <v>133</v>
      </c>
      <c r="E54" s="13" t="s">
        <v>210</v>
      </c>
      <c r="F54" s="13" t="str">
        <f t="shared" si="1"/>
        <v>Alta (Tipo A)</v>
      </c>
    </row>
    <row r="55" spans="1:6" x14ac:dyDescent="0.2">
      <c r="A55" s="13" t="s">
        <v>190</v>
      </c>
      <c r="B55" s="13" t="s">
        <v>108</v>
      </c>
      <c r="C55" s="13" t="s">
        <v>107</v>
      </c>
      <c r="D55" s="13" t="s">
        <v>143</v>
      </c>
      <c r="E55" s="13" t="s">
        <v>210</v>
      </c>
      <c r="F55" s="13" t="str">
        <f t="shared" si="1"/>
        <v>Alta (Tipo A)</v>
      </c>
    </row>
    <row r="56" spans="1:6" x14ac:dyDescent="0.2">
      <c r="A56" s="13" t="s">
        <v>191</v>
      </c>
      <c r="B56" s="13" t="s">
        <v>109</v>
      </c>
      <c r="C56" s="13" t="s">
        <v>107</v>
      </c>
      <c r="D56" s="13" t="s">
        <v>143</v>
      </c>
      <c r="E56" s="13" t="s">
        <v>210</v>
      </c>
      <c r="F56" s="13" t="str">
        <f t="shared" si="1"/>
        <v>Alta (Tipo A)</v>
      </c>
    </row>
    <row r="57" spans="1:6" x14ac:dyDescent="0.2">
      <c r="A57" s="13" t="s">
        <v>192</v>
      </c>
      <c r="B57" s="13" t="s">
        <v>109</v>
      </c>
      <c r="C57" s="13" t="s">
        <v>110</v>
      </c>
      <c r="D57" s="13" t="s">
        <v>143</v>
      </c>
      <c r="E57" s="13" t="s">
        <v>210</v>
      </c>
      <c r="F57" s="13" t="str">
        <f t="shared" si="1"/>
        <v>Alta (Tipo A)</v>
      </c>
    </row>
    <row r="58" spans="1:6" x14ac:dyDescent="0.2">
      <c r="A58" s="13" t="s">
        <v>193</v>
      </c>
      <c r="B58" s="13" t="s">
        <v>111</v>
      </c>
      <c r="C58" s="13" t="s">
        <v>112</v>
      </c>
      <c r="D58" s="13" t="s">
        <v>133</v>
      </c>
      <c r="E58" s="13" t="s">
        <v>210</v>
      </c>
      <c r="F58" s="13" t="str">
        <f t="shared" si="1"/>
        <v>Alta (Tipo A)</v>
      </c>
    </row>
    <row r="59" spans="1:6" x14ac:dyDescent="0.2">
      <c r="A59" s="13" t="s">
        <v>194</v>
      </c>
      <c r="B59" s="13" t="s">
        <v>113</v>
      </c>
      <c r="C59" s="13" t="s">
        <v>114</v>
      </c>
      <c r="D59" s="13" t="s">
        <v>143</v>
      </c>
      <c r="E59" s="13" t="s">
        <v>210</v>
      </c>
      <c r="F59" s="13" t="str">
        <f t="shared" si="1"/>
        <v>Alta (Tipo A)</v>
      </c>
    </row>
    <row r="60" spans="1:6" x14ac:dyDescent="0.2">
      <c r="A60" s="13" t="s">
        <v>195</v>
      </c>
      <c r="B60" s="13" t="s">
        <v>115</v>
      </c>
      <c r="C60" s="13" t="s">
        <v>114</v>
      </c>
      <c r="D60" s="13" t="s">
        <v>143</v>
      </c>
      <c r="E60" s="13" t="s">
        <v>210</v>
      </c>
      <c r="F60" s="13" t="str">
        <f t="shared" si="1"/>
        <v>Alta (Tipo A)</v>
      </c>
    </row>
    <row r="61" spans="1:6" x14ac:dyDescent="0.2">
      <c r="A61" s="13" t="s">
        <v>196</v>
      </c>
      <c r="B61" s="13" t="s">
        <v>116</v>
      </c>
      <c r="C61" s="13" t="s">
        <v>197</v>
      </c>
      <c r="D61" s="13" t="s">
        <v>143</v>
      </c>
      <c r="E61" s="13" t="s">
        <v>210</v>
      </c>
      <c r="F61" s="13" t="str">
        <f t="shared" si="1"/>
        <v>Alta (Tipo A)</v>
      </c>
    </row>
    <row r="62" spans="1:6" x14ac:dyDescent="0.2">
      <c r="A62" s="13" t="s">
        <v>198</v>
      </c>
      <c r="B62" s="13" t="s">
        <v>117</v>
      </c>
      <c r="C62" s="13" t="s">
        <v>197</v>
      </c>
      <c r="D62" s="13" t="s">
        <v>143</v>
      </c>
      <c r="E62" s="13" t="s">
        <v>210</v>
      </c>
      <c r="F62" s="13" t="str">
        <f t="shared" si="1"/>
        <v>Alta (Tipo A)</v>
      </c>
    </row>
    <row r="63" spans="1:6" x14ac:dyDescent="0.2">
      <c r="A63" s="13" t="s">
        <v>199</v>
      </c>
      <c r="B63" s="13" t="s">
        <v>118</v>
      </c>
      <c r="C63" s="13" t="s">
        <v>200</v>
      </c>
      <c r="D63" s="13" t="s">
        <v>143</v>
      </c>
      <c r="E63" s="13" t="s">
        <v>210</v>
      </c>
      <c r="F63" s="13" t="str">
        <f t="shared" si="1"/>
        <v>Alta (Tipo A)</v>
      </c>
    </row>
    <row r="64" spans="1:6" x14ac:dyDescent="0.2">
      <c r="A64" s="13" t="s">
        <v>201</v>
      </c>
      <c r="B64" s="13" t="s">
        <v>121</v>
      </c>
      <c r="C64" s="13" t="s">
        <v>120</v>
      </c>
      <c r="D64" s="13" t="s">
        <v>143</v>
      </c>
      <c r="E64" s="13" t="s">
        <v>210</v>
      </c>
      <c r="F64" s="13" t="str">
        <f t="shared" si="1"/>
        <v>Alta (Tipo A)</v>
      </c>
    </row>
    <row r="65" spans="1:6" x14ac:dyDescent="0.2">
      <c r="A65" s="13" t="s">
        <v>202</v>
      </c>
      <c r="B65" s="13" t="s">
        <v>119</v>
      </c>
      <c r="C65" s="13" t="s">
        <v>120</v>
      </c>
      <c r="D65" s="13" t="s">
        <v>143</v>
      </c>
      <c r="E65" s="13" t="s">
        <v>210</v>
      </c>
      <c r="F65" s="13" t="str">
        <f t="shared" si="1"/>
        <v>Alta (Tipo A)</v>
      </c>
    </row>
    <row r="66" spans="1:6" x14ac:dyDescent="0.2">
      <c r="A66" s="13" t="s">
        <v>203</v>
      </c>
      <c r="B66" s="13" t="s">
        <v>122</v>
      </c>
      <c r="C66" s="13" t="s">
        <v>27</v>
      </c>
      <c r="D66" s="13" t="s">
        <v>204</v>
      </c>
      <c r="E66" s="13" t="s">
        <v>211</v>
      </c>
      <c r="F66" s="13" t="str">
        <f t="shared" ref="F66:F71" si="2">IF(E66="A","Alta (Tipo A)",
IF(E66="B","Media (Tipo B)",
IF(E66="C","Baja (Tipo C)","")))</f>
        <v>Media (Tipo B)</v>
      </c>
    </row>
    <row r="67" spans="1:6" x14ac:dyDescent="0.2">
      <c r="A67" s="13" t="s">
        <v>205</v>
      </c>
      <c r="B67" s="13" t="s">
        <v>123</v>
      </c>
      <c r="C67" s="13" t="s">
        <v>27</v>
      </c>
      <c r="D67" s="13" t="s">
        <v>204</v>
      </c>
      <c r="E67" s="13" t="s">
        <v>211</v>
      </c>
      <c r="F67" s="13" t="str">
        <f t="shared" si="2"/>
        <v>Media (Tipo B)</v>
      </c>
    </row>
    <row r="68" spans="1:6" x14ac:dyDescent="0.2">
      <c r="A68" s="13" t="s">
        <v>206</v>
      </c>
      <c r="B68" s="13" t="s">
        <v>124</v>
      </c>
      <c r="C68" s="13" t="s">
        <v>27</v>
      </c>
      <c r="D68" s="13" t="s">
        <v>204</v>
      </c>
      <c r="E68" s="13" t="s">
        <v>211</v>
      </c>
      <c r="F68" s="13" t="str">
        <f t="shared" si="2"/>
        <v>Media (Tipo B)</v>
      </c>
    </row>
    <row r="69" spans="1:6" x14ac:dyDescent="0.2">
      <c r="A69" s="13" t="s">
        <v>207</v>
      </c>
      <c r="B69" s="13" t="s">
        <v>125</v>
      </c>
      <c r="C69" s="13" t="s">
        <v>27</v>
      </c>
      <c r="D69" s="13" t="s">
        <v>204</v>
      </c>
      <c r="E69" s="13" t="s">
        <v>211</v>
      </c>
      <c r="F69" s="13" t="str">
        <f t="shared" si="2"/>
        <v>Media (Tipo B)</v>
      </c>
    </row>
    <row r="70" spans="1:6" x14ac:dyDescent="0.2">
      <c r="A70" s="13" t="s">
        <v>208</v>
      </c>
      <c r="B70" s="13" t="s">
        <v>126</v>
      </c>
      <c r="C70" s="13" t="s">
        <v>127</v>
      </c>
      <c r="D70" s="13" t="s">
        <v>204</v>
      </c>
      <c r="E70" s="13" t="s">
        <v>212</v>
      </c>
      <c r="F70" s="13" t="str">
        <f t="shared" si="2"/>
        <v>Baja (Tipo C)</v>
      </c>
    </row>
    <row r="71" spans="1:6" x14ac:dyDescent="0.2">
      <c r="A71" s="13" t="s">
        <v>209</v>
      </c>
      <c r="B71" s="13" t="s">
        <v>128</v>
      </c>
      <c r="C71" s="13" t="s">
        <v>127</v>
      </c>
      <c r="D71" s="13" t="s">
        <v>204</v>
      </c>
      <c r="E71" s="13" t="s">
        <v>212</v>
      </c>
      <c r="F71" s="13" t="str">
        <f t="shared" si="2"/>
        <v>Baja (Tipo C)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74"/>
  <sheetViews>
    <sheetView tabSelected="1" zoomScale="112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3" sqref="E3"/>
    </sheetView>
  </sheetViews>
  <sheetFormatPr baseColWidth="10" defaultColWidth="9.1640625" defaultRowHeight="15" x14ac:dyDescent="0.2"/>
  <cols>
    <col min="1" max="1" width="13" bestFit="1" customWidth="1"/>
    <col min="2" max="2" width="29.1640625" customWidth="1"/>
    <col min="3" max="5" width="18.5" customWidth="1"/>
    <col min="6" max="6" width="6.83203125" bestFit="1" customWidth="1"/>
    <col min="7" max="7" width="8.6640625" bestFit="1" customWidth="1"/>
    <col min="8" max="9" width="7.83203125" bestFit="1" customWidth="1"/>
    <col min="10" max="10" width="5.5" bestFit="1" customWidth="1"/>
    <col min="11" max="11" width="7.6640625" bestFit="1" customWidth="1"/>
    <col min="12" max="12" width="7.33203125" bestFit="1" customWidth="1"/>
    <col min="13" max="13" width="5" bestFit="1" customWidth="1"/>
    <col min="14" max="14" width="7.6640625" bestFit="1" customWidth="1"/>
    <col min="15" max="15" width="7" bestFit="1" customWidth="1"/>
    <col min="16" max="16" width="7.5" customWidth="1"/>
    <col min="17" max="17" width="5" customWidth="1"/>
    <col min="18" max="18" width="4" bestFit="1" customWidth="1"/>
    <col min="19" max="19" width="6" bestFit="1" customWidth="1"/>
    <col min="20" max="20" width="7.33203125" bestFit="1" customWidth="1"/>
    <col min="21" max="21" width="7" bestFit="1" customWidth="1"/>
    <col min="22" max="22" width="11.5" style="11" bestFit="1" customWidth="1"/>
  </cols>
  <sheetData>
    <row r="1" spans="1:22" ht="18" x14ac:dyDescent="0.2">
      <c r="B1" s="3" t="s">
        <v>25</v>
      </c>
      <c r="C1" s="3"/>
    </row>
    <row r="2" spans="1:22" x14ac:dyDescent="0.2">
      <c r="B2" s="2" t="s">
        <v>20</v>
      </c>
      <c r="C2" s="2"/>
    </row>
    <row r="3" spans="1:22" x14ac:dyDescent="0.2">
      <c r="B3" s="2"/>
      <c r="C3" s="2"/>
    </row>
    <row r="4" spans="1:22" x14ac:dyDescent="0.2">
      <c r="F4" s="20" t="s">
        <v>37</v>
      </c>
      <c r="G4" s="20"/>
      <c r="H4" s="20" t="s">
        <v>38</v>
      </c>
      <c r="I4" s="20"/>
      <c r="J4" s="20"/>
      <c r="K4" s="20"/>
      <c r="L4" s="20" t="s">
        <v>39</v>
      </c>
      <c r="M4" s="20"/>
      <c r="N4" s="20"/>
      <c r="O4" s="20" t="s">
        <v>43</v>
      </c>
      <c r="P4" s="20"/>
      <c r="Q4" s="21" t="s">
        <v>44</v>
      </c>
      <c r="R4" s="21"/>
      <c r="S4" s="21"/>
      <c r="T4" s="21"/>
    </row>
    <row r="5" spans="1:22" s="4" customFormat="1" ht="35" customHeight="1" x14ac:dyDescent="0.2">
      <c r="A5" s="17" t="s">
        <v>129</v>
      </c>
      <c r="B5" s="17" t="s">
        <v>21</v>
      </c>
      <c r="C5" s="17" t="s">
        <v>30</v>
      </c>
      <c r="D5" s="17" t="s">
        <v>31</v>
      </c>
      <c r="E5" s="17" t="s">
        <v>22</v>
      </c>
      <c r="F5" s="17" t="s">
        <v>33</v>
      </c>
      <c r="G5" s="17" t="s">
        <v>34</v>
      </c>
      <c r="H5" s="17" t="s">
        <v>32</v>
      </c>
      <c r="I5" s="17" t="s">
        <v>230</v>
      </c>
      <c r="J5" s="17" t="s">
        <v>35</v>
      </c>
      <c r="K5" s="17" t="s">
        <v>36</v>
      </c>
      <c r="L5" s="17" t="s">
        <v>40</v>
      </c>
      <c r="M5" s="17" t="s">
        <v>41</v>
      </c>
      <c r="N5" s="17" t="s">
        <v>42</v>
      </c>
      <c r="O5" s="18" t="s">
        <v>228</v>
      </c>
      <c r="P5" s="18" t="s">
        <v>229</v>
      </c>
      <c r="Q5" s="19" t="s">
        <v>45</v>
      </c>
      <c r="R5" s="19" t="s">
        <v>46</v>
      </c>
      <c r="S5" s="19" t="s">
        <v>47</v>
      </c>
      <c r="T5" s="19" t="s">
        <v>48</v>
      </c>
      <c r="U5" s="17" t="s">
        <v>23</v>
      </c>
      <c r="V5" s="18" t="s">
        <v>24</v>
      </c>
    </row>
    <row r="6" spans="1:22" x14ac:dyDescent="0.2">
      <c r="A6" s="13" t="s">
        <v>191</v>
      </c>
      <c r="B6" s="14" t="str">
        <f>IF(A6="","",INDEX(proveedores[Proveedor],MATCH(A6,proveedores[Código],0)))</f>
        <v>LAMINADOS DO BRASIL</v>
      </c>
      <c r="C6" s="14" t="str">
        <f>IF(A6="","",INDEX(proveedores[Material],MATCH(A6,proveedores[Código],0)))</f>
        <v>Protect 4</v>
      </c>
      <c r="D6" s="15" t="str">
        <f>IF(A6="","",INDEX(proveedores[Perfil],MATCH(A6,proveedores[Código],0)))</f>
        <v>Local Insumos</v>
      </c>
      <c r="E6" s="15" t="str">
        <f>IF(A6="","",IFERROR(INDEX(proveedores[Nivel de criticidad],MATCH(A6,proveedores[Código],0)),""))</f>
        <v>Alta (Tipo A)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1</v>
      </c>
      <c r="U6" s="5">
        <f t="shared" ref="U6:U37" si="0">IF(D6="Internacional", MIN(IF(((F6*10)+(G6*3)+(H6*4)+(I6*5)+(J6*8)+(O6*5)+(P6*2)+IF(L6="N/A",0,(L6*10)+(M6*5)+(N6*3)))&gt;0,98,100), ((MAX(0, 30 - (F6*10) - (G6*3))/30)*45) + ((MAX(0, 25 - (H6*4) - (I6*5) - (J6*8) - (K6*5))/25)*35) + ((MAX(0, 15 - (O6*5) - (P6*2))/15)*20) + (IF(Q6="N/A",0,Q6)*2.5) + (IF(R6="N/A",0,R6)*2.5) + (IF(S6="N/A",0,S6)*2.5) + (IF(T6="N/A",0,T6)*2.5)), IF(D6="Local Insumos", MIN(IF(((F6*10)+(G6*3)+(H6*4)+(I6*5)+(J6*8)+(O6*5)+(P6*2)+IF(L6="N/A",0,(L6*10)+(M6*5)+(N6*3)))&gt;0,98,100), ((MAX(0, 30 - (F6*10) - (G6*3))/30)*35) + ((MAX(0, 25 - (H6*4) - (I6*5) - (J6*8) - (K6*5))/25)*30) + MAX(0, 20 - (L6*10) - (M6*5) - (N6*3)) + MAX(0, 15 - (O6*5) - (P6*2)) + (IF(Q6="N/A",0,Q6)*2.5) + (IF(R6="N/A",0,R6)*2.5) + (IF(S6="N/A",0,S6)*2.5) + (IF(T6="N/A",0,T6)*2.5)), MIN(IF(((F6*10)+(G6*3)+(H6*4)+(I6*5)+(J6*8)+(O6*5)+(P6*2)+IF(L6="N/A",0,(L6*10)+(M6*5)+(N6*3)))&gt;0,98,100), ((MAX(0, 25 - (H6*4) - (I6*5) - (J6*8) - (K6*5))/25)*55) + ((MAX(0, 20 - (L6*10) - (M6*5) - (N6*3))/20)*30) + ((MAX(0, 15 - (O6*5) - (P6*2))/15)*15))))</f>
        <v>98</v>
      </c>
      <c r="V6" s="12" t="str">
        <f t="shared" ref="V6:V37" si="1">IF(U6&gt;=96, "Clase A++", IF(U6&gt;=85, "Clase A", IF(U6&gt;=70, "Clase B", "Clase C")))</f>
        <v>Clase A++</v>
      </c>
    </row>
    <row r="7" spans="1:22" x14ac:dyDescent="0.2">
      <c r="A7" s="13" t="s">
        <v>172</v>
      </c>
      <c r="B7" s="14" t="str">
        <f>IF(A7="","",INDEX(proveedores[Proveedor],MATCH(A7,proveedores[Código],0)))</f>
        <v>SZCHIMER</v>
      </c>
      <c r="C7" s="14" t="str">
        <f>IF(A7="","",INDEX(proveedores[Material],MATCH(A7,proveedores[Código],0)))</f>
        <v>Humectante</v>
      </c>
      <c r="D7" s="15" t="str">
        <f>IF(A7="","",INDEX(proveedores[Perfil],MATCH(A7,proveedores[Código],0)))</f>
        <v>Local Insumos</v>
      </c>
      <c r="E7" s="15" t="str">
        <f>IF(A7="","",IFERROR(INDEX(proveedores[Nivel de criticidad],MATCH(A7,proveedores[Código],0)),""))</f>
        <v>Alta (Tipo A)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5">
        <f t="shared" si="0"/>
        <v>95.5</v>
      </c>
      <c r="V7" s="12" t="str">
        <f t="shared" si="1"/>
        <v>Clase A</v>
      </c>
    </row>
    <row r="8" spans="1:22" x14ac:dyDescent="0.2">
      <c r="A8" s="13" t="s">
        <v>190</v>
      </c>
      <c r="B8" s="14" t="str">
        <f>IF(A8="","",INDEX(proveedores[Proveedor],MATCH(A8,proveedores[Código],0)))</f>
        <v>TNS</v>
      </c>
      <c r="C8" s="14" t="str">
        <f>IF(A8="","",INDEX(proveedores[Material],MATCH(A8,proveedores[Código],0)))</f>
        <v>Protect 4</v>
      </c>
      <c r="D8" s="15" t="str">
        <f>IF(A8="","",INDEX(proveedores[Perfil],MATCH(A8,proveedores[Código],0)))</f>
        <v>Local Insumos</v>
      </c>
      <c r="E8" s="15" t="str">
        <f>IF(A8="","",IFERROR(INDEX(proveedores[Nivel de criticidad],MATCH(A8,proveedores[Código],0)),""))</f>
        <v>Alta (Tipo A)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1</v>
      </c>
      <c r="T8" s="1">
        <v>1</v>
      </c>
      <c r="U8" s="5">
        <f t="shared" si="0"/>
        <v>98</v>
      </c>
      <c r="V8" s="12" t="str">
        <f t="shared" si="1"/>
        <v>Clase A++</v>
      </c>
    </row>
    <row r="9" spans="1:22" x14ac:dyDescent="0.2">
      <c r="A9" s="13" t="s">
        <v>166</v>
      </c>
      <c r="B9" s="14" t="str">
        <f>IF(A9="","",INDEX(proveedores[Proveedor],MATCH(A9,proveedores[Código],0)))</f>
        <v>A TONAL</v>
      </c>
      <c r="C9" s="14" t="str">
        <f>IF(A9="","",INDEX(proveedores[Material],MATCH(A9,proveedores[Código],0)))</f>
        <v>APTS CT50</v>
      </c>
      <c r="D9" s="15" t="str">
        <f>IF(A9="","",INDEX(proveedores[Perfil],MATCH(A9,proveedores[Código],0)))</f>
        <v>Local Insumos</v>
      </c>
      <c r="E9" s="15" t="str">
        <f>IF(A9="","",IFERROR(INDEX(proveedores[Nivel de criticidad],MATCH(A9,proveedores[Código],0)),""))</f>
        <v>Alta (Tipo A)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5">
        <f t="shared" si="0"/>
        <v>98</v>
      </c>
      <c r="V9" s="12" t="str">
        <f t="shared" si="1"/>
        <v>Clase A++</v>
      </c>
    </row>
    <row r="10" spans="1:22" x14ac:dyDescent="0.2">
      <c r="A10" s="13" t="s">
        <v>189</v>
      </c>
      <c r="B10" s="14" t="str">
        <f>IF(A10="","",INDEX(proveedores[Proveedor],MATCH(A10,proveedores[Código],0)))</f>
        <v>WIZ CHEMICALS</v>
      </c>
      <c r="C10" s="14" t="str">
        <f>IF(A10="","",INDEX(proveedores[Material],MATCH(A10,proveedores[Código],0)))</f>
        <v>Aditivos</v>
      </c>
      <c r="D10" s="15" t="str">
        <f>IF(A10="","",INDEX(proveedores[Perfil],MATCH(A10,proveedores[Código],0)))</f>
        <v>Internacional</v>
      </c>
      <c r="E10" s="15" t="str">
        <f>IF(A10="","",IFERROR(INDEX(proveedores[Nivel de criticidad],MATCH(A10,proveedores[Código],0)),""))</f>
        <v>Alta (Tipo A)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/>
      <c r="M10" s="1"/>
      <c r="N10" s="1"/>
      <c r="O10" s="1">
        <v>0</v>
      </c>
      <c r="P10" s="1">
        <v>1</v>
      </c>
      <c r="Q10" s="1">
        <v>1</v>
      </c>
      <c r="R10" s="1">
        <v>0</v>
      </c>
      <c r="S10" s="1">
        <v>1</v>
      </c>
      <c r="T10" s="1">
        <v>1</v>
      </c>
      <c r="U10" s="5">
        <f t="shared" si="0"/>
        <v>97.833333333333343</v>
      </c>
      <c r="V10" s="12" t="str">
        <f t="shared" si="1"/>
        <v>Clase A++</v>
      </c>
    </row>
    <row r="11" spans="1:22" x14ac:dyDescent="0.2">
      <c r="A11" s="13" t="s">
        <v>185</v>
      </c>
      <c r="B11" s="14" t="str">
        <f>IF(A11="","",INDEX(proveedores[Proveedor],MATCH(A11,proveedores[Código],0)))</f>
        <v>ARKEMA</v>
      </c>
      <c r="C11" s="14" t="str">
        <f>IF(A11="","",INDEX(proveedores[Material],MATCH(A11,proveedores[Código],0)))</f>
        <v>Film UV</v>
      </c>
      <c r="D11" s="15" t="str">
        <f>IF(A11="","",INDEX(proveedores[Perfil],MATCH(A11,proveedores[Código],0)))</f>
        <v>Local Insumos</v>
      </c>
      <c r="E11" s="15" t="str">
        <f>IF(A11="","",IFERROR(INDEX(proveedores[Nivel de criticidad],MATCH(A11,proveedores[Código],0)),""))</f>
        <v>Alta (Tipo A)</v>
      </c>
      <c r="F11" s="1">
        <v>1</v>
      </c>
      <c r="G11" s="1">
        <v>1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5">
        <f t="shared" si="0"/>
        <v>72.733333333333334</v>
      </c>
      <c r="V11" s="12" t="str">
        <f t="shared" si="1"/>
        <v>Clase B</v>
      </c>
    </row>
    <row r="12" spans="1:22" x14ac:dyDescent="0.2">
      <c r="A12" s="13" t="s">
        <v>201</v>
      </c>
      <c r="B12" s="14" t="str">
        <f>IF(A12="","",INDEX(proveedores[Proveedor],MATCH(A12,proveedores[Código],0)))</f>
        <v>MATERFLEX</v>
      </c>
      <c r="C12" s="14" t="str">
        <f>IF(A12="","",INDEX(proveedores[Material],MATCH(A12,proveedores[Código],0)))</f>
        <v>Film adhesivo</v>
      </c>
      <c r="D12" s="15" t="str">
        <f>IF(A12="","",INDEX(proveedores[Perfil],MATCH(A12,proveedores[Código],0)))</f>
        <v>Local Insumos</v>
      </c>
      <c r="E12" s="15" t="str">
        <f>IF(A12="","",IFERROR(INDEX(proveedores[Nivel de criticidad],MATCH(A12,proveedores[Código],0)),""))</f>
        <v>Alta (Tipo A)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5">
        <f t="shared" si="0"/>
        <v>95.5</v>
      </c>
      <c r="V12" s="12" t="str">
        <f t="shared" si="1"/>
        <v>Clase A</v>
      </c>
    </row>
    <row r="13" spans="1:22" x14ac:dyDescent="0.2">
      <c r="A13" s="13" t="s">
        <v>184</v>
      </c>
      <c r="B13" s="14" t="str">
        <f>IF(A13="","",INDEX(proveedores[Proveedor],MATCH(A13,proveedores[Código],0)))</f>
        <v>POLYVANTIS</v>
      </c>
      <c r="C13" s="14" t="str">
        <f>IF(A13="","",INDEX(proveedores[Material],MATCH(A13,proveedores[Código],0)))</f>
        <v>Film UV</v>
      </c>
      <c r="D13" s="15" t="str">
        <f>IF(A13="","",INDEX(proveedores[Perfil],MATCH(A13,proveedores[Código],0)))</f>
        <v>Internacional</v>
      </c>
      <c r="E13" s="15" t="str">
        <f>IF(A13="","",IFERROR(INDEX(proveedores[Nivel de criticidad],MATCH(A13,proveedores[Código],0)),""))</f>
        <v>Alta (Tipo A)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/>
      <c r="M13" s="1"/>
      <c r="N13" s="1"/>
      <c r="O13" s="1">
        <v>1</v>
      </c>
      <c r="P13" s="1">
        <v>1</v>
      </c>
      <c r="Q13" s="1">
        <v>1</v>
      </c>
      <c r="R13" s="1">
        <v>0</v>
      </c>
      <c r="S13" s="1">
        <v>1</v>
      </c>
      <c r="T13" s="1">
        <v>1</v>
      </c>
      <c r="U13" s="5">
        <f t="shared" si="0"/>
        <v>91.166666666666671</v>
      </c>
      <c r="V13" s="12" t="str">
        <f t="shared" si="1"/>
        <v>Clase A</v>
      </c>
    </row>
    <row r="14" spans="1:22" x14ac:dyDescent="0.2">
      <c r="A14" s="13" t="s">
        <v>202</v>
      </c>
      <c r="B14" s="14" t="str">
        <f>IF(A14="","",INDEX(proveedores[Proveedor],MATCH(A14,proveedores[Código],0)))</f>
        <v>PROTEFILM</v>
      </c>
      <c r="C14" s="14" t="str">
        <f>IF(A14="","",INDEX(proveedores[Material],MATCH(A14,proveedores[Código],0)))</f>
        <v>Film adhesivo</v>
      </c>
      <c r="D14" s="15" t="str">
        <f>IF(A14="","",INDEX(proveedores[Perfil],MATCH(A14,proveedores[Código],0)))</f>
        <v>Local Insumos</v>
      </c>
      <c r="E14" s="15" t="str">
        <f>IF(A14="","",IFERROR(INDEX(proveedores[Nivel de criticidad],MATCH(A14,proveedores[Código],0)),""))</f>
        <v>Alta (Tipo A)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5">
        <f t="shared" si="0"/>
        <v>95.5</v>
      </c>
      <c r="V14" s="12" t="str">
        <f t="shared" si="1"/>
        <v>Clase A</v>
      </c>
    </row>
    <row r="15" spans="1:22" x14ac:dyDescent="0.2">
      <c r="A15" s="13" t="s">
        <v>186</v>
      </c>
      <c r="B15" s="14" t="str">
        <f>IF(A15="","",INDEX(proveedores[Proveedor],MATCH(A15,proveedores[Código],0)))</f>
        <v>FERON</v>
      </c>
      <c r="C15" s="14" t="str">
        <f>IF(A15="","",INDEX(proveedores[Material],MATCH(A15,proveedores[Código],0)))</f>
        <v>Foil aluminio</v>
      </c>
      <c r="D15" s="15" t="str">
        <f>IF(A15="","",INDEX(proveedores[Perfil],MATCH(A15,proveedores[Código],0)))</f>
        <v>Internacional</v>
      </c>
      <c r="E15" s="15" t="str">
        <f>IF(A15="","",IFERROR(INDEX(proveedores[Nivel de criticidad],MATCH(A15,proveedores[Código],0)),""))</f>
        <v>Alta (Tipo A)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/>
      <c r="M15" s="1"/>
      <c r="N15" s="1"/>
      <c r="O15" s="1">
        <v>0</v>
      </c>
      <c r="P15" s="1">
        <v>1</v>
      </c>
      <c r="Q15" s="1">
        <v>1</v>
      </c>
      <c r="R15" s="1">
        <v>0</v>
      </c>
      <c r="S15" s="1">
        <v>1</v>
      </c>
      <c r="T15" s="1">
        <v>1</v>
      </c>
      <c r="U15" s="5">
        <f t="shared" si="0"/>
        <v>97.833333333333343</v>
      </c>
      <c r="V15" s="12" t="str">
        <f t="shared" si="1"/>
        <v>Clase A++</v>
      </c>
    </row>
    <row r="16" spans="1:22" x14ac:dyDescent="0.2">
      <c r="A16" s="13" t="s">
        <v>187</v>
      </c>
      <c r="B16" s="14" t="str">
        <f>IF(A16="","",INDEX(proveedores[Proveedor],MATCH(A16,proveedores[Código],0)))</f>
        <v>FERON</v>
      </c>
      <c r="C16" s="14" t="str">
        <f>IF(A16="","",INDEX(proveedores[Material],MATCH(A16,proveedores[Código],0)))</f>
        <v>Foil magnético</v>
      </c>
      <c r="D16" s="15" t="str">
        <f>IF(A16="","",INDEX(proveedores[Perfil],MATCH(A16,proveedores[Código],0)))</f>
        <v>Internacional</v>
      </c>
      <c r="E16" s="15" t="str">
        <f>IF(A16="","",IFERROR(INDEX(proveedores[Nivel de criticidad],MATCH(A16,proveedores[Código],0)),""))</f>
        <v>Alta (Tipo A)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/>
      <c r="M16" s="1"/>
      <c r="N16" s="1"/>
      <c r="O16" s="1">
        <v>0</v>
      </c>
      <c r="P16" s="1">
        <v>1</v>
      </c>
      <c r="Q16" s="1">
        <v>1</v>
      </c>
      <c r="R16" s="1">
        <v>0</v>
      </c>
      <c r="S16" s="1">
        <v>1</v>
      </c>
      <c r="T16" s="1">
        <v>1</v>
      </c>
      <c r="U16" s="5">
        <f t="shared" si="0"/>
        <v>97.833333333333343</v>
      </c>
      <c r="V16" s="12" t="str">
        <f t="shared" si="1"/>
        <v>Clase A++</v>
      </c>
    </row>
    <row r="17" spans="1:22" x14ac:dyDescent="0.2">
      <c r="A17" s="13" t="s">
        <v>153</v>
      </c>
      <c r="B17" s="14" t="str">
        <f>IF(A17="","",INDEX(proveedores[Proveedor],MATCH(A17,proveedores[Código],0)))</f>
        <v>CUYOPLACAS</v>
      </c>
      <c r="C17" s="14" t="str">
        <f>IF(A17="","",INDEX(proveedores[Material],MATCH(A17,proveedores[Código],0)))</f>
        <v>MDP/Aglomerado</v>
      </c>
      <c r="D17" s="15" t="str">
        <f>IF(A17="","",INDEX(proveedores[Perfil],MATCH(A17,proveedores[Código],0)))</f>
        <v>Local Insumos</v>
      </c>
      <c r="E17" s="15" t="str">
        <f>IF(A17="","",IFERROR(INDEX(proveedores[Nivel de criticidad],MATCH(A17,proveedores[Código],0)),""))</f>
        <v>Alta (Tipo A)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5">
        <f t="shared" si="0"/>
        <v>92</v>
      </c>
      <c r="V17" s="12" t="str">
        <f t="shared" si="1"/>
        <v>Clase A</v>
      </c>
    </row>
    <row r="18" spans="1:22" x14ac:dyDescent="0.2">
      <c r="A18" s="13" t="s">
        <v>152</v>
      </c>
      <c r="B18" s="14" t="str">
        <f>IF(A18="","",INDEX(proveedores[Proveedor],MATCH(A18,proveedores[Código],0)))</f>
        <v>FAPLAC</v>
      </c>
      <c r="C18" s="14" t="str">
        <f>IF(A18="","",INDEX(proveedores[Material],MATCH(A18,proveedores[Código],0)))</f>
        <v>MDP/Aglomerado</v>
      </c>
      <c r="D18" s="15" t="str">
        <f>IF(A18="","",INDEX(proveedores[Perfil],MATCH(A18,proveedores[Código],0)))</f>
        <v>Local Insumos</v>
      </c>
      <c r="E18" s="15" t="str">
        <f>IF(A18="","",IFERROR(INDEX(proveedores[Nivel de criticidad],MATCH(A18,proveedores[Código],0)),""))</f>
        <v>Alta (Tipo A)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5">
        <f t="shared" si="0"/>
        <v>98</v>
      </c>
      <c r="V18" s="12" t="str">
        <f t="shared" si="1"/>
        <v>Clase A++</v>
      </c>
    </row>
    <row r="19" spans="1:22" x14ac:dyDescent="0.2">
      <c r="A19" s="13" t="s">
        <v>158</v>
      </c>
      <c r="B19" s="14" t="str">
        <f>IF(A19="","",INDEX(proveedores[Proveedor],MATCH(A19,proveedores[Código],0)))</f>
        <v>FIPLASTO</v>
      </c>
      <c r="C19" s="14" t="str">
        <f>IF(A19="","",INDEX(proveedores[Material],MATCH(A19,proveedores[Código],0)))</f>
        <v>Chapadur</v>
      </c>
      <c r="D19" s="15" t="str">
        <f>IF(A19="","",INDEX(proveedores[Perfil],MATCH(A19,proveedores[Código],0)))</f>
        <v>Local Insumos</v>
      </c>
      <c r="E19" s="15" t="str">
        <f>IF(A19="","",IFERROR(INDEX(proveedores[Nivel de criticidad],MATCH(A19,proveedores[Código],0)),""))</f>
        <v>Alta (Tipo A)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1</v>
      </c>
      <c r="R19" s="1">
        <v>0</v>
      </c>
      <c r="S19" s="1">
        <v>0</v>
      </c>
      <c r="T19" s="1">
        <v>1</v>
      </c>
      <c r="U19" s="5">
        <f t="shared" si="0"/>
        <v>81.533333333333331</v>
      </c>
      <c r="V19" s="12" t="str">
        <f t="shared" si="1"/>
        <v>Clase B</v>
      </c>
    </row>
    <row r="20" spans="1:22" x14ac:dyDescent="0.2">
      <c r="A20" s="13" t="s">
        <v>193</v>
      </c>
      <c r="B20" s="14" t="str">
        <f>IF(A20="","",INDEX(proveedores[Proveedor],MATCH(A20,proveedores[Código],0)))</f>
        <v>HEBEI</v>
      </c>
      <c r="C20" s="14" t="str">
        <f>IF(A20="","",INDEX(proveedores[Material],MATCH(A20,proveedores[Código],0)))</f>
        <v>Tela Roving</v>
      </c>
      <c r="D20" s="15" t="str">
        <f>IF(A20="","",INDEX(proveedores[Perfil],MATCH(A20,proveedores[Código],0)))</f>
        <v>Internacional</v>
      </c>
      <c r="E20" s="15" t="str">
        <f>IF(A20="","",IFERROR(INDEX(proveedores[Nivel de criticidad],MATCH(A20,proveedores[Código],0)),""))</f>
        <v>Alta (Tipo A)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/>
      <c r="M20" s="1"/>
      <c r="N20" s="1"/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5">
        <f t="shared" si="0"/>
        <v>88.666666666666671</v>
      </c>
      <c r="V20" s="12" t="str">
        <f t="shared" si="1"/>
        <v>Clase A</v>
      </c>
    </row>
    <row r="21" spans="1:22" x14ac:dyDescent="0.2">
      <c r="A21" s="13" t="s">
        <v>192</v>
      </c>
      <c r="B21" s="14" t="str">
        <f>IF(A21="","",INDEX(proveedores[Proveedor],MATCH(A21,proveedores[Código],0)))</f>
        <v>LAMINADOS DO BRASIL</v>
      </c>
      <c r="C21" s="14" t="str">
        <f>IF(A21="","",INDEX(proveedores[Material],MATCH(A21,proveedores[Código],0)))</f>
        <v>Panel canaletado</v>
      </c>
      <c r="D21" s="15" t="str">
        <f>IF(A21="","",INDEX(proveedores[Perfil],MATCH(A21,proveedores[Código],0)))</f>
        <v>Local Insumos</v>
      </c>
      <c r="E21" s="15" t="str">
        <f>IF(A21="","",IFERROR(INDEX(proveedores[Nivel de criticidad],MATCH(A21,proveedores[Código],0)),""))</f>
        <v>Alta (Tipo A)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1</v>
      </c>
      <c r="R21" s="1">
        <v>0</v>
      </c>
      <c r="S21" s="1">
        <v>1</v>
      </c>
      <c r="T21" s="1">
        <v>1</v>
      </c>
      <c r="U21" s="5">
        <f t="shared" si="0"/>
        <v>98</v>
      </c>
      <c r="V21" s="12" t="str">
        <f t="shared" si="1"/>
        <v>Clase A++</v>
      </c>
    </row>
    <row r="22" spans="1:22" x14ac:dyDescent="0.2">
      <c r="A22" s="13" t="s">
        <v>182</v>
      </c>
      <c r="B22" s="14" t="str">
        <f>IF(A22="","",INDEX(proveedores[Proveedor],MATCH(A22,proveedores[Código],0)))</f>
        <v>SESA</v>
      </c>
      <c r="C22" s="14" t="str">
        <f>IF(A22="","",INDEX(proveedores[Material],MATCH(A22,proveedores[Código],0)))</f>
        <v>Chapas</v>
      </c>
      <c r="D22" s="15" t="str">
        <f>IF(A22="","",INDEX(proveedores[Perfil],MATCH(A22,proveedores[Código],0)))</f>
        <v>Internacional</v>
      </c>
      <c r="E22" s="15" t="str">
        <f>IF(A22="","",IFERROR(INDEX(proveedores[Nivel de criticidad],MATCH(A22,proveedores[Código],0)),""))</f>
        <v>Alta (Tipo A)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1"/>
      <c r="M22" s="1"/>
      <c r="N22" s="1"/>
      <c r="O22" s="1">
        <v>1</v>
      </c>
      <c r="P22" s="1">
        <v>1</v>
      </c>
      <c r="Q22" s="1">
        <v>1</v>
      </c>
      <c r="R22" s="1">
        <v>0</v>
      </c>
      <c r="S22" s="1">
        <v>1</v>
      </c>
      <c r="T22" s="1">
        <v>1</v>
      </c>
      <c r="U22" s="5">
        <f t="shared" si="0"/>
        <v>86.666666666666671</v>
      </c>
      <c r="V22" s="12" t="str">
        <f t="shared" si="1"/>
        <v>Clase A</v>
      </c>
    </row>
    <row r="23" spans="1:22" x14ac:dyDescent="0.2">
      <c r="A23" s="13" t="s">
        <v>159</v>
      </c>
      <c r="B23" s="14" t="str">
        <f>IF(A23="","",INDEX(proveedores[Proveedor],MATCH(A23,proveedores[Código],0)))</f>
        <v>SCHWARTZ VRENA</v>
      </c>
      <c r="C23" s="14" t="str">
        <f>IF(A23="","",INDEX(proveedores[Material],MATCH(A23,proveedores[Código],0)))</f>
        <v>Chapadur</v>
      </c>
      <c r="D23" s="15" t="str">
        <f>IF(A23="","",INDEX(proveedores[Perfil],MATCH(A23,proveedores[Código],0)))</f>
        <v>Internacional</v>
      </c>
      <c r="E23" s="15" t="str">
        <f>IF(A23="","",IFERROR(INDEX(proveedores[Nivel de criticidad],MATCH(A23,proveedores[Código],0)),""))</f>
        <v>Alta (Tipo A)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/>
      <c r="M23" s="1"/>
      <c r="N23" s="1"/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5">
        <f t="shared" si="0"/>
        <v>95.333333333333343</v>
      </c>
      <c r="V23" s="12" t="str">
        <f t="shared" si="1"/>
        <v>Clase A</v>
      </c>
    </row>
    <row r="24" spans="1:22" x14ac:dyDescent="0.2">
      <c r="A24" s="13" t="s">
        <v>155</v>
      </c>
      <c r="B24" s="14" t="str">
        <f>IF(A24="","",INDEX(proveedores[Proveedor],MATCH(A24,proveedores[Código],0)))</f>
        <v>TRUPAN</v>
      </c>
      <c r="C24" s="14" t="str">
        <f>IF(A24="","",INDEX(proveedores[Material],MATCH(A24,proveedores[Código],0)))</f>
        <v>MDF/HDF</v>
      </c>
      <c r="D24" s="15" t="str">
        <f>IF(A24="","",INDEX(proveedores[Perfil],MATCH(A24,proveedores[Código],0)))</f>
        <v>Local Insumos</v>
      </c>
      <c r="E24" s="15" t="str">
        <f>IF(A24="","",IFERROR(INDEX(proveedores[Nivel de criticidad],MATCH(A24,proveedores[Código],0)),""))</f>
        <v>Alta (Tipo A)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5">
        <f t="shared" si="0"/>
        <v>98</v>
      </c>
      <c r="V24" s="12" t="str">
        <f t="shared" si="1"/>
        <v>Clase A++</v>
      </c>
    </row>
    <row r="25" spans="1:22" x14ac:dyDescent="0.2">
      <c r="A25" s="13" t="s">
        <v>154</v>
      </c>
      <c r="B25" s="14" t="str">
        <f>IF(A25="","",INDEX(proveedores[Proveedor],MATCH(A25,proveedores[Código],0)))</f>
        <v>VILLA GUILLERMINA</v>
      </c>
      <c r="C25" s="14" t="str">
        <f>IF(A25="","",INDEX(proveedores[Material],MATCH(A25,proveedores[Código],0)))</f>
        <v>MDF/HDF</v>
      </c>
      <c r="D25" s="15" t="str">
        <f>IF(A25="","",INDEX(proveedores[Perfil],MATCH(A25,proveedores[Código],0)))</f>
        <v>Local Insumos</v>
      </c>
      <c r="E25" s="15" t="str">
        <f>IF(A25="","",IFERROR(INDEX(proveedores[Nivel de criticidad],MATCH(A25,proveedores[Código],0)),""))</f>
        <v>Alta (Tipo A)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5">
        <f t="shared" si="0"/>
        <v>80.033333333333331</v>
      </c>
      <c r="V25" s="12" t="str">
        <f t="shared" si="1"/>
        <v>Clase B</v>
      </c>
    </row>
    <row r="26" spans="1:22" x14ac:dyDescent="0.2">
      <c r="A26" s="13" t="s">
        <v>145</v>
      </c>
      <c r="B26" s="14" t="str">
        <f>IF(A26="","",INDEX(proveedores[Proveedor],MATCH(A26,proveedores[Código],0)))</f>
        <v>CAIEIRAS</v>
      </c>
      <c r="C26" s="14" t="str">
        <f>IF(A26="","",INDEX(proveedores[Material],MATCH(A26,proveedores[Código],0)))</f>
        <v>Papel decorativo</v>
      </c>
      <c r="D26" s="15" t="str">
        <f>IF(A26="","",INDEX(proveedores[Perfil],MATCH(A26,proveedores[Código],0)))</f>
        <v>Local Insumos</v>
      </c>
      <c r="E26" s="15" t="str">
        <f>IF(A26="","",IFERROR(INDEX(proveedores[Nivel de criticidad],MATCH(A26,proveedores[Código],0)),""))</f>
        <v>Alta (Tipo A)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1</v>
      </c>
      <c r="S26" s="1">
        <v>1</v>
      </c>
      <c r="T26" s="1">
        <v>1</v>
      </c>
      <c r="U26" s="5">
        <f t="shared" si="0"/>
        <v>98</v>
      </c>
      <c r="V26" s="12" t="str">
        <f t="shared" si="1"/>
        <v>Clase A++</v>
      </c>
    </row>
    <row r="27" spans="1:22" x14ac:dyDescent="0.2">
      <c r="A27" s="13" t="s">
        <v>137</v>
      </c>
      <c r="B27" s="14" t="str">
        <f>IF(A27="","",INDEX(proveedores[Proveedor],MATCH(A27,proveedores[Código],0)))</f>
        <v>ENTRO CORP.</v>
      </c>
      <c r="C27" s="14" t="str">
        <f>IF(A27="","",INDEX(proveedores[Material],MATCH(A27,proveedores[Código],0)))</f>
        <v>Papel Kraft</v>
      </c>
      <c r="D27" s="15" t="str">
        <f>IF(A27="","",INDEX(proveedores[Perfil],MATCH(A27,proveedores[Código],0)))</f>
        <v>Internacional</v>
      </c>
      <c r="E27" s="15" t="str">
        <f>IF(A27="","",IFERROR(INDEX(proveedores[Nivel de criticidad],MATCH(A27,proveedores[Código],0)),""))</f>
        <v>Alta (Tipo A)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/>
      <c r="M27" s="1"/>
      <c r="N27" s="1"/>
      <c r="O27" s="1">
        <v>1</v>
      </c>
      <c r="P27" s="1">
        <v>0</v>
      </c>
      <c r="Q27" s="1">
        <v>1</v>
      </c>
      <c r="R27" s="1">
        <v>0</v>
      </c>
      <c r="S27" s="1">
        <v>1</v>
      </c>
      <c r="T27" s="1">
        <v>1</v>
      </c>
      <c r="U27" s="5">
        <f t="shared" si="0"/>
        <v>93.833333333333329</v>
      </c>
      <c r="V27" s="12" t="str">
        <f t="shared" si="1"/>
        <v>Clase A</v>
      </c>
    </row>
    <row r="28" spans="1:22" x14ac:dyDescent="0.2">
      <c r="A28" s="13" t="s">
        <v>175</v>
      </c>
      <c r="B28" s="14" t="str">
        <f>IF(A28="","",INDEX(proveedores[Proveedor],MATCH(A28,proveedores[Código],0)))</f>
        <v>GLATFELTER</v>
      </c>
      <c r="C28" s="14" t="str">
        <f>IF(A28="","",INDEX(proveedores[Material],MATCH(A28,proveedores[Código],0)))</f>
        <v>Papel Overlay</v>
      </c>
      <c r="D28" s="15" t="str">
        <f>IF(A28="","",INDEX(proveedores[Perfil],MATCH(A28,proveedores[Código],0)))</f>
        <v>Internacional</v>
      </c>
      <c r="E28" s="15" t="str">
        <f>IF(A28="","",IFERROR(INDEX(proveedores[Nivel de criticidad],MATCH(A28,proveedores[Código],0)),""))</f>
        <v>Alta (Tipo A)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/>
      <c r="M28" s="1"/>
      <c r="N28" s="1"/>
      <c r="O28" s="1">
        <v>1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  <c r="U28" s="5">
        <f t="shared" si="0"/>
        <v>96.333333333333329</v>
      </c>
      <c r="V28" s="12" t="str">
        <f t="shared" si="1"/>
        <v>Clase A++</v>
      </c>
    </row>
    <row r="29" spans="1:22" x14ac:dyDescent="0.2">
      <c r="A29" s="13" t="s">
        <v>180</v>
      </c>
      <c r="B29" s="14" t="str">
        <f>IF(A29="","",INDEX(proveedores[Proveedor],MATCH(A29,proveedores[Código],0)))</f>
        <v>IMPRESS DECOR</v>
      </c>
      <c r="C29" s="14" t="str">
        <f>IF(A29="","",INDEX(proveedores[Material],MATCH(A29,proveedores[Código],0)))</f>
        <v>Papeles impresos</v>
      </c>
      <c r="D29" s="15" t="str">
        <f>IF(A29="","",INDEX(proveedores[Perfil],MATCH(A29,proveedores[Código],0)))</f>
        <v>Local Insumos</v>
      </c>
      <c r="E29" s="15" t="str">
        <f>IF(A29="","",IFERROR(INDEX(proveedores[Nivel de criticidad],MATCH(A29,proveedores[Código],0)),""))</f>
        <v>Alta (Tipo A)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5">
        <f t="shared" si="0"/>
        <v>95.5</v>
      </c>
      <c r="V29" s="12" t="str">
        <f t="shared" si="1"/>
        <v>Clase A</v>
      </c>
    </row>
    <row r="30" spans="1:22" x14ac:dyDescent="0.2">
      <c r="A30" s="13" t="s">
        <v>178</v>
      </c>
      <c r="B30" s="14" t="str">
        <f>IF(A30="","",INDEX(proveedores[Proveedor],MATCH(A30,proveedores[Código],0)))</f>
        <v>IMPRESS DECOR</v>
      </c>
      <c r="C30" s="14" t="str">
        <f>IF(A30="","",INDEX(proveedores[Material],MATCH(A30,proveedores[Código],0)))</f>
        <v>Papeles impregnados</v>
      </c>
      <c r="D30" s="15" t="str">
        <f>IF(A30="","",INDEX(proveedores[Perfil],MATCH(A30,proveedores[Código],0)))</f>
        <v>Local Insumos</v>
      </c>
      <c r="E30" s="15" t="str">
        <f>IF(A30="","",IFERROR(INDEX(proveedores[Nivel de criticidad],MATCH(A30,proveedores[Código],0)),""))</f>
        <v>Alta (Tipo A)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5">
        <f t="shared" si="0"/>
        <v>95.5</v>
      </c>
      <c r="V30" s="12" t="str">
        <f t="shared" si="1"/>
        <v>Clase A</v>
      </c>
    </row>
    <row r="31" spans="1:22" x14ac:dyDescent="0.2">
      <c r="A31" s="13" t="s">
        <v>141</v>
      </c>
      <c r="B31" s="14" t="str">
        <f>IF(A31="","",INDEX(proveedores[Proveedor],MATCH(A31,proveedores[Código],0)))</f>
        <v>KOTKAMILLS</v>
      </c>
      <c r="C31" s="14" t="str">
        <f>IF(A31="","",INDEX(proveedores[Material],MATCH(A31,proveedores[Código],0)))</f>
        <v>Papel Kraft</v>
      </c>
      <c r="D31" s="15" t="str">
        <f>IF(A31="","",INDEX(proveedores[Perfil],MATCH(A31,proveedores[Código],0)))</f>
        <v>Internacional</v>
      </c>
      <c r="E31" s="15" t="str">
        <f>IF(A31="","",IFERROR(INDEX(proveedores[Nivel de criticidad],MATCH(A31,proveedores[Código],0)),""))</f>
        <v>Alta (Tipo A)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/>
      <c r="M31" s="1"/>
      <c r="N31" s="1"/>
      <c r="O31" s="1">
        <v>1</v>
      </c>
      <c r="P31" s="1">
        <v>0</v>
      </c>
      <c r="Q31" s="1">
        <v>1</v>
      </c>
      <c r="R31" s="1">
        <v>1</v>
      </c>
      <c r="S31" s="1">
        <v>1</v>
      </c>
      <c r="T31" s="1">
        <v>1</v>
      </c>
      <c r="U31" s="5">
        <f t="shared" si="0"/>
        <v>96.333333333333329</v>
      </c>
      <c r="V31" s="12" t="str">
        <f t="shared" si="1"/>
        <v>Clase A++</v>
      </c>
    </row>
    <row r="32" spans="1:22" x14ac:dyDescent="0.2">
      <c r="A32" s="13" t="s">
        <v>144</v>
      </c>
      <c r="B32" s="14" t="str">
        <f>IF(A32="","",INDEX(proveedores[Proveedor],MATCH(A32,proveedores[Código],0)))</f>
        <v>MUNKSJO</v>
      </c>
      <c r="C32" s="14" t="str">
        <f>IF(A32="","",INDEX(proveedores[Material],MATCH(A32,proveedores[Código],0)))</f>
        <v>Papel decorativo</v>
      </c>
      <c r="D32" s="15" t="str">
        <f>IF(A32="","",INDEX(proveedores[Perfil],MATCH(A32,proveedores[Código],0)))</f>
        <v>Internacional</v>
      </c>
      <c r="E32" s="15" t="str">
        <f>IF(A32="","",IFERROR(INDEX(proveedores[Nivel de criticidad],MATCH(A32,proveedores[Código],0)),""))</f>
        <v>Alta (Tipo A)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/>
      <c r="M32" s="1"/>
      <c r="N32" s="1"/>
      <c r="O32" s="1">
        <v>1</v>
      </c>
      <c r="P32" s="1">
        <v>0</v>
      </c>
      <c r="Q32" s="1">
        <v>1</v>
      </c>
      <c r="R32" s="1">
        <v>1</v>
      </c>
      <c r="S32" s="1">
        <v>1</v>
      </c>
      <c r="T32" s="1">
        <v>1</v>
      </c>
      <c r="U32" s="5">
        <f t="shared" si="0"/>
        <v>96.333333333333329</v>
      </c>
      <c r="V32" s="12" t="str">
        <f t="shared" si="1"/>
        <v>Clase A++</v>
      </c>
    </row>
    <row r="33" spans="1:22" x14ac:dyDescent="0.2">
      <c r="A33" s="13" t="s">
        <v>151</v>
      </c>
      <c r="B33" s="14" t="str">
        <f>IF(A33="","",INDEX(proveedores[Proveedor],MATCH(A33,proveedores[Código],0)))</f>
        <v>NATH</v>
      </c>
      <c r="C33" s="14" t="str">
        <f>IF(A33="","",INDEX(proveedores[Material],MATCH(A33,proveedores[Código],0)))</f>
        <v>Papel Kraft</v>
      </c>
      <c r="D33" s="15" t="str">
        <f>IF(A33="","",INDEX(proveedores[Perfil],MATCH(A33,proveedores[Código],0)))</f>
        <v>Internacional</v>
      </c>
      <c r="E33" s="15" t="str">
        <f>IF(A33="","",IFERROR(INDEX(proveedores[Nivel de criticidad],MATCH(A33,proveedores[Código],0)),""))</f>
        <v>Alta (Tipo A)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/>
      <c r="M33" s="1"/>
      <c r="N33" s="1"/>
      <c r="O33" s="1">
        <v>0</v>
      </c>
      <c r="P33" s="1">
        <v>1</v>
      </c>
      <c r="Q33" s="1">
        <v>1</v>
      </c>
      <c r="R33" s="1">
        <v>0</v>
      </c>
      <c r="S33" s="1">
        <v>1</v>
      </c>
      <c r="T33" s="1">
        <v>0</v>
      </c>
      <c r="U33" s="5">
        <f t="shared" si="0"/>
        <v>75.833333333333343</v>
      </c>
      <c r="V33" s="12" t="str">
        <f t="shared" si="1"/>
        <v>Clase B</v>
      </c>
    </row>
    <row r="34" spans="1:22" x14ac:dyDescent="0.2">
      <c r="A34" s="13" t="s">
        <v>142</v>
      </c>
      <c r="B34" s="14" t="str">
        <f>IF(A34="","",INDEX(proveedores[Proveedor],MATCH(A34,proveedores[Código],0)))</f>
        <v>PM</v>
      </c>
      <c r="C34" s="14" t="str">
        <f>IF(A34="","",INDEX(proveedores[Material],MATCH(A34,proveedores[Código],0)))</f>
        <v>Papel Kraft</v>
      </c>
      <c r="D34" s="15" t="str">
        <f>IF(A34="","",INDEX(proveedores[Perfil],MATCH(A34,proveedores[Código],0)))</f>
        <v>Local Insumos</v>
      </c>
      <c r="E34" s="15" t="str">
        <f>IF(A34="","",IFERROR(INDEX(proveedores[Nivel de criticidad],MATCH(A34,proveedores[Código],0)),""))</f>
        <v>Alta (Tipo A)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5">
        <f t="shared" si="0"/>
        <v>87.833333333333329</v>
      </c>
      <c r="V34" s="12" t="str">
        <f t="shared" si="1"/>
        <v>Clase A</v>
      </c>
    </row>
    <row r="35" spans="1:22" x14ac:dyDescent="0.2">
      <c r="A35" s="13" t="s">
        <v>179</v>
      </c>
      <c r="B35" s="14" t="str">
        <f>IF(A35="","",INDEX(proveedores[Proveedor],MATCH(A35,proveedores[Código],0)))</f>
        <v>SCHATTDECOR</v>
      </c>
      <c r="C35" s="14" t="str">
        <f>IF(A35="","",INDEX(proveedores[Material],MATCH(A35,proveedores[Código],0)))</f>
        <v>Papeles impresos</v>
      </c>
      <c r="D35" s="15" t="str">
        <f>IF(A35="","",INDEX(proveedores[Perfil],MATCH(A35,proveedores[Código],0)))</f>
        <v>Local Insumos</v>
      </c>
      <c r="E35" s="15" t="str">
        <f>IF(A35="","",IFERROR(INDEX(proveedores[Nivel de criticidad],MATCH(A35,proveedores[Código],0)),""))</f>
        <v>Alta (Tipo A)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1</v>
      </c>
      <c r="S35" s="1">
        <v>0</v>
      </c>
      <c r="T35" s="1">
        <v>1</v>
      </c>
      <c r="U35" s="5">
        <f t="shared" si="0"/>
        <v>98</v>
      </c>
      <c r="V35" s="12" t="str">
        <f t="shared" si="1"/>
        <v>Clase A++</v>
      </c>
    </row>
    <row r="36" spans="1:22" x14ac:dyDescent="0.2">
      <c r="A36" s="13" t="s">
        <v>177</v>
      </c>
      <c r="B36" s="14" t="str">
        <f>IF(A36="","",INDEX(proveedores[Proveedor],MATCH(A36,proveedores[Código],0)))</f>
        <v>SCHATTDECOR</v>
      </c>
      <c r="C36" s="14" t="str">
        <f>IF(A36="","",INDEX(proveedores[Material],MATCH(A36,proveedores[Código],0)))</f>
        <v>Papeles impregnados</v>
      </c>
      <c r="D36" s="15" t="str">
        <f>IF(A36="","",INDEX(proveedores[Perfil],MATCH(A36,proveedores[Código],0)))</f>
        <v>Local Insumos</v>
      </c>
      <c r="E36" s="15" t="str">
        <f>IF(A36="","",IFERROR(INDEX(proveedores[Nivel de criticidad],MATCH(A36,proveedores[Código],0)),""))</f>
        <v>Alta (Tipo A)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0</v>
      </c>
      <c r="T36" s="1">
        <v>1</v>
      </c>
      <c r="U36" s="5">
        <f t="shared" si="0"/>
        <v>98</v>
      </c>
      <c r="V36" s="12" t="str">
        <f t="shared" si="1"/>
        <v>Clase A++</v>
      </c>
    </row>
    <row r="37" spans="1:22" x14ac:dyDescent="0.2">
      <c r="A37" s="13" t="s">
        <v>176</v>
      </c>
      <c r="B37" s="14" t="str">
        <f>IF(A37="","",INDEX(proveedores[Proveedor],MATCH(A37,proveedores[Código],0)))</f>
        <v>SCHATTDECOR</v>
      </c>
      <c r="C37" s="14" t="str">
        <f>IF(A37="","",INDEX(proveedores[Material],MATCH(A37,proveedores[Código],0)))</f>
        <v>Papel Overlay</v>
      </c>
      <c r="D37" s="15" t="str">
        <f>IF(A37="","",INDEX(proveedores[Perfil],MATCH(A37,proveedores[Código],0)))</f>
        <v>Local Insumos</v>
      </c>
      <c r="E37" s="15" t="str">
        <f>IF(A37="","",IFERROR(INDEX(proveedores[Nivel de criticidad],MATCH(A37,proveedores[Código],0)),""))</f>
        <v>Alta (Tipo A)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1</v>
      </c>
      <c r="R37" s="1">
        <v>1</v>
      </c>
      <c r="S37" s="1">
        <v>0</v>
      </c>
      <c r="T37" s="1">
        <v>1</v>
      </c>
      <c r="U37" s="5">
        <f t="shared" si="0"/>
        <v>98</v>
      </c>
      <c r="V37" s="12" t="str">
        <f t="shared" si="1"/>
        <v>Clase A++</v>
      </c>
    </row>
    <row r="38" spans="1:22" x14ac:dyDescent="0.2">
      <c r="A38" s="13" t="s">
        <v>146</v>
      </c>
      <c r="B38" s="14" t="str">
        <f>IF(A38="","",INDEX(proveedores[Proveedor],MATCH(A38,proveedores[Código],0)))</f>
        <v>TECHNOCELL</v>
      </c>
      <c r="C38" s="14" t="str">
        <f>IF(A38="","",INDEX(proveedores[Material],MATCH(A38,proveedores[Código],0)))</f>
        <v>Papel decorativo</v>
      </c>
      <c r="D38" s="15" t="str">
        <f>IF(A38="","",INDEX(proveedores[Perfil],MATCH(A38,proveedores[Código],0)))</f>
        <v>Internacional</v>
      </c>
      <c r="E38" s="15" t="str">
        <f>IF(A38="","",IFERROR(INDEX(proveedores[Nivel de criticidad],MATCH(A38,proveedores[Código],0)),""))</f>
        <v>Alta (Tipo A)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/>
      <c r="M38" s="1"/>
      <c r="N38" s="1"/>
      <c r="O38" s="1">
        <v>0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5">
        <f t="shared" ref="U38:U69" si="2">IF(D38="Internacional", MIN(IF(((F38*10)+(G38*3)+(H38*4)+(I38*5)+(J38*8)+(O38*5)+(P38*2)+IF(L38="N/A",0,(L38*10)+(M38*5)+(N38*3)))&gt;0,98,100), ((MAX(0, 30 - (F38*10) - (G38*3))/30)*45) + ((MAX(0, 25 - (H38*4) - (I38*5) - (J38*8) - (K38*5))/25)*35) + ((MAX(0, 15 - (O38*5) - (P38*2))/15)*20) + (IF(Q38="N/A",0,Q38)*2.5) + (IF(R38="N/A",0,R38)*2.5) + (IF(S38="N/A",0,S38)*2.5) + (IF(T38="N/A",0,T38)*2.5)), IF(D38="Local Insumos", MIN(IF(((F38*10)+(G38*3)+(H38*4)+(I38*5)+(J38*8)+(O38*5)+(P38*2)+IF(L38="N/A",0,(L38*10)+(M38*5)+(N38*3)))&gt;0,98,100), ((MAX(0, 30 - (F38*10) - (G38*3))/30)*35) + ((MAX(0, 25 - (H38*4) - (I38*5) - (J38*8) - (K38*5))/25)*30) + MAX(0, 20 - (L38*10) - (M38*5) - (N38*3)) + MAX(0, 15 - (O38*5) - (P38*2)) + (IF(Q38="N/A",0,Q38)*2.5) + (IF(R38="N/A",0,R38)*2.5) + (IF(S38="N/A",0,S38)*2.5) + (IF(T38="N/A",0,T38)*2.5)), MIN(IF(((F38*10)+(G38*3)+(H38*4)+(I38*5)+(J38*8)+(O38*5)+(P38*2)+IF(L38="N/A",0,(L38*10)+(M38*5)+(N38*3)))&gt;0,98,100), ((MAX(0, 25 - (H38*4) - (I38*5) - (J38*8) - (K38*5))/25)*55) + ((MAX(0, 20 - (L38*10) - (M38*5) - (N38*3))/20)*30) + ((MAX(0, 15 - (O38*5) - (P38*2))/15)*15))))</f>
        <v>93.333333333333343</v>
      </c>
      <c r="V38" s="12" t="str">
        <f t="shared" ref="V38:V69" si="3">IF(U38&gt;=96, "Clase A++", IF(U38&gt;=85, "Clase A", IF(U38&gt;=70, "Clase B", "Clase C")))</f>
        <v>Clase A</v>
      </c>
    </row>
    <row r="39" spans="1:22" x14ac:dyDescent="0.2">
      <c r="A39" s="13" t="s">
        <v>199</v>
      </c>
      <c r="B39" s="14" t="str">
        <f>IF(A39="","",INDEX(proveedores[Proveedor],MATCH(A39,proveedores[Código],0)))</f>
        <v>ADELFA</v>
      </c>
      <c r="C39" s="14" t="str">
        <f>IF(A39="","",INDEX(proveedores[Material],MATCH(A39,proveedores[Código],0)))</f>
        <v>Resina acrílica</v>
      </c>
      <c r="D39" s="15" t="str">
        <f>IF(A39="","",INDEX(proveedores[Perfil],MATCH(A39,proveedores[Código],0)))</f>
        <v>Local Insumos</v>
      </c>
      <c r="E39" s="15" t="str">
        <f>IF(A39="","",IFERROR(INDEX(proveedores[Nivel de criticidad],MATCH(A39,proveedores[Código],0)),""))</f>
        <v>Alta (Tipo A)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1</v>
      </c>
      <c r="U39" s="5">
        <f t="shared" si="2"/>
        <v>93.2</v>
      </c>
      <c r="V39" s="12" t="str">
        <f t="shared" si="3"/>
        <v>Clase A</v>
      </c>
    </row>
    <row r="40" spans="1:22" x14ac:dyDescent="0.2">
      <c r="A40" s="13" t="s">
        <v>149</v>
      </c>
      <c r="B40" s="14" t="str">
        <f>IF(A40="","",INDEX(proveedores[Proveedor],MATCH(A40,proveedores[Código],0)))</f>
        <v>ARAUCO</v>
      </c>
      <c r="C40" s="14" t="str">
        <f>IF(A40="","",INDEX(proveedores[Material],MATCH(A40,proveedores[Código],0)))</f>
        <v>Formol</v>
      </c>
      <c r="D40" s="15" t="str">
        <f>IF(A40="","",INDEX(proveedores[Perfil],MATCH(A40,proveedores[Código],0)))</f>
        <v>Local Insumos</v>
      </c>
      <c r="E40" s="15" t="str">
        <f>IF(A40="","",IFERROR(INDEX(proveedores[Nivel de criticidad],MATCH(A40,proveedores[Código],0)),""))</f>
        <v>Alta (Tipo A)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1</v>
      </c>
      <c r="T40" s="1">
        <v>1</v>
      </c>
      <c r="U40" s="5">
        <f t="shared" si="2"/>
        <v>98</v>
      </c>
      <c r="V40" s="12" t="str">
        <f t="shared" si="3"/>
        <v>Clase A++</v>
      </c>
    </row>
    <row r="41" spans="1:22" x14ac:dyDescent="0.2">
      <c r="A41" s="13" t="s">
        <v>156</v>
      </c>
      <c r="B41" s="14" t="str">
        <f>IF(A41="","",INDEX(proveedores[Proveedor],MATCH(A41,proveedores[Código],0)))</f>
        <v>ARAUCO</v>
      </c>
      <c r="C41" s="14" t="str">
        <f>IF(A41="","",INDEX(proveedores[Material],MATCH(A41,proveedores[Código],0)))</f>
        <v>UFC</v>
      </c>
      <c r="D41" s="15" t="str">
        <f>IF(A41="","",INDEX(proveedores[Perfil],MATCH(A41,proveedores[Código],0)))</f>
        <v>Local Insumos</v>
      </c>
      <c r="E41" s="15" t="str">
        <f>IF(A41="","",IFERROR(INDEX(proveedores[Nivel de criticidad],MATCH(A41,proveedores[Código],0)),""))</f>
        <v>Alta (Tipo A)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1</v>
      </c>
      <c r="Q41" s="1">
        <v>1</v>
      </c>
      <c r="R41" s="1">
        <v>0</v>
      </c>
      <c r="S41" s="1">
        <v>1</v>
      </c>
      <c r="T41" s="1">
        <v>1</v>
      </c>
      <c r="U41" s="5">
        <f t="shared" si="2"/>
        <v>98</v>
      </c>
      <c r="V41" s="12" t="str">
        <f t="shared" si="3"/>
        <v>Clase A++</v>
      </c>
    </row>
    <row r="42" spans="1:22" x14ac:dyDescent="0.2">
      <c r="A42" s="13" t="s">
        <v>198</v>
      </c>
      <c r="B42" s="14" t="str">
        <f>IF(A42="","",INDEX(proveedores[Proveedor],MATCH(A42,proveedores[Código],0)))</f>
        <v>ARCOR</v>
      </c>
      <c r="C42" s="14" t="str">
        <f>IF(A42="","",INDEX(proveedores[Material],MATCH(A42,proveedores[Código],0)))</f>
        <v>Glucosa</v>
      </c>
      <c r="D42" s="15" t="str">
        <f>IF(A42="","",INDEX(proveedores[Perfil],MATCH(A42,proveedores[Código],0)))</f>
        <v>Local Insumos</v>
      </c>
      <c r="E42" s="15" t="str">
        <f>IF(A42="","",IFERROR(INDEX(proveedores[Nivel de criticidad],MATCH(A42,proveedores[Código],0)),""))</f>
        <v>Alta (Tipo A)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5">
        <f t="shared" si="2"/>
        <v>98</v>
      </c>
      <c r="V42" s="12" t="str">
        <f t="shared" si="3"/>
        <v>Clase A++</v>
      </c>
    </row>
    <row r="43" spans="1:22" x14ac:dyDescent="0.2">
      <c r="A43" s="13" t="s">
        <v>195</v>
      </c>
      <c r="B43" s="14" t="str">
        <f>IF(A43="","",INDEX(proveedores[Proveedor],MATCH(A43,proveedores[Código],0)))</f>
        <v>ARTECOLA</v>
      </c>
      <c r="C43" s="14" t="str">
        <f>IF(A43="","",INDEX(proveedores[Material],MATCH(A43,proveedores[Código],0)))</f>
        <v>Adhesivos</v>
      </c>
      <c r="D43" s="15" t="str">
        <f>IF(A43="","",INDEX(proveedores[Perfil],MATCH(A43,proveedores[Código],0)))</f>
        <v>Local Insumos</v>
      </c>
      <c r="E43" s="15" t="str">
        <f>IF(A43="","",IFERROR(INDEX(proveedores[Nivel de criticidad],MATCH(A43,proveedores[Código],0)),""))</f>
        <v>Alta (Tipo A)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1</v>
      </c>
      <c r="U43" s="5">
        <f t="shared" si="2"/>
        <v>96.5</v>
      </c>
      <c r="V43" s="12" t="str">
        <f t="shared" si="3"/>
        <v>Clase A++</v>
      </c>
    </row>
    <row r="44" spans="1:22" x14ac:dyDescent="0.2">
      <c r="A44" s="13" t="s">
        <v>148</v>
      </c>
      <c r="B44" s="14" t="str">
        <f>IF(A44="","",INDEX(proveedores[Proveedor],MATCH(A44,proveedores[Código],0)))</f>
        <v>ATANOR</v>
      </c>
      <c r="C44" s="14" t="str">
        <f>IF(A44="","",INDEX(proveedores[Material],MATCH(A44,proveedores[Código],0)))</f>
        <v>Fenol</v>
      </c>
      <c r="D44" s="15" t="str">
        <f>IF(A44="","",INDEX(proveedores[Perfil],MATCH(A44,proveedores[Código],0)))</f>
        <v>Local Insumos</v>
      </c>
      <c r="E44" s="15" t="str">
        <f>IF(A44="","",IFERROR(INDEX(proveedores[Nivel de criticidad],MATCH(A44,proveedores[Código],0)),""))</f>
        <v>Alta (Tipo A)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>
        <v>1</v>
      </c>
      <c r="Q44" s="1">
        <v>1</v>
      </c>
      <c r="R44" s="1">
        <v>0</v>
      </c>
      <c r="S44" s="1">
        <v>1</v>
      </c>
      <c r="T44" s="1">
        <v>1</v>
      </c>
      <c r="U44" s="5">
        <f t="shared" si="2"/>
        <v>95.5</v>
      </c>
      <c r="V44" s="12" t="str">
        <f t="shared" si="3"/>
        <v>Clase A</v>
      </c>
    </row>
    <row r="45" spans="1:22" x14ac:dyDescent="0.2">
      <c r="A45" s="13" t="s">
        <v>196</v>
      </c>
      <c r="B45" s="14" t="str">
        <f>IF(A45="","",INDEX(proveedores[Proveedor],MATCH(A45,proveedores[Código],0)))</f>
        <v>CARGHILL</v>
      </c>
      <c r="C45" s="14" t="str">
        <f>IF(A45="","",INDEX(proveedores[Material],MATCH(A45,proveedores[Código],0)))</f>
        <v>Glucosa</v>
      </c>
      <c r="D45" s="15" t="str">
        <f>IF(A45="","",INDEX(proveedores[Perfil],MATCH(A45,proveedores[Código],0)))</f>
        <v>Local Insumos</v>
      </c>
      <c r="E45" s="15" t="str">
        <f>IF(A45="","",IFERROR(INDEX(proveedores[Nivel de criticidad],MATCH(A45,proveedores[Código],0)),""))</f>
        <v>Alta (Tipo A)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5">
        <f t="shared" si="2"/>
        <v>98</v>
      </c>
      <c r="V45" s="12" t="str">
        <f t="shared" si="3"/>
        <v>Clase A++</v>
      </c>
    </row>
    <row r="46" spans="1:22" x14ac:dyDescent="0.2">
      <c r="A46" s="13" t="s">
        <v>136</v>
      </c>
      <c r="B46" s="14" t="str">
        <f>IF(A46="","",INDEX(proveedores[Proveedor],MATCH(A46,proveedores[Código],0)))</f>
        <v>ENTRO CORP.</v>
      </c>
      <c r="C46" s="14" t="str">
        <f>IF(A46="","",INDEX(proveedores[Material],MATCH(A46,proveedores[Código],0)))</f>
        <v>Dietilenglicol</v>
      </c>
      <c r="D46" s="15" t="str">
        <f>IF(A46="","",INDEX(proveedores[Perfil],MATCH(A46,proveedores[Código],0)))</f>
        <v>Internacional</v>
      </c>
      <c r="E46" s="15" t="str">
        <f>IF(A46="","",IFERROR(INDEX(proveedores[Nivel de criticidad],MATCH(A46,proveedores[Código],0)),""))</f>
        <v>Alta (Tipo A)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/>
      <c r="M46" s="1"/>
      <c r="N46" s="1"/>
      <c r="O46" s="1">
        <v>0</v>
      </c>
      <c r="P46" s="1">
        <v>0</v>
      </c>
      <c r="Q46" s="1">
        <v>1</v>
      </c>
      <c r="R46" s="1">
        <v>0</v>
      </c>
      <c r="S46" s="1">
        <v>1</v>
      </c>
      <c r="T46" s="1">
        <v>1</v>
      </c>
      <c r="U46" s="5">
        <f t="shared" si="2"/>
        <v>100</v>
      </c>
      <c r="V46" s="12" t="str">
        <f t="shared" si="3"/>
        <v>Clase A++</v>
      </c>
    </row>
    <row r="47" spans="1:22" x14ac:dyDescent="0.2">
      <c r="A47" s="13" t="s">
        <v>134</v>
      </c>
      <c r="B47" s="14" t="str">
        <f>IF(A47="","",INDEX(proveedores[Proveedor],MATCH(A47,proveedores[Código],0)))</f>
        <v>ENTRO CORP.</v>
      </c>
      <c r="C47" s="14" t="str">
        <f>IF(A47="","",INDEX(proveedores[Material],MATCH(A47,proveedores[Código],0)))</f>
        <v>Fenol</v>
      </c>
      <c r="D47" s="15" t="str">
        <f>IF(A47="","",INDEX(proveedores[Perfil],MATCH(A47,proveedores[Código],0)))</f>
        <v>Internacional</v>
      </c>
      <c r="E47" s="15" t="str">
        <f>IF(A47="","",IFERROR(INDEX(proveedores[Nivel de criticidad],MATCH(A47,proveedores[Código],0)),""))</f>
        <v>Alta (Tipo A)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/>
      <c r="M47" s="1"/>
      <c r="N47" s="1"/>
      <c r="O47" s="1">
        <v>1</v>
      </c>
      <c r="P47" s="1">
        <v>0</v>
      </c>
      <c r="Q47" s="1">
        <v>1</v>
      </c>
      <c r="R47" s="1">
        <v>0</v>
      </c>
      <c r="S47" s="1">
        <v>0</v>
      </c>
      <c r="T47" s="1">
        <v>1</v>
      </c>
      <c r="U47" s="5">
        <f t="shared" si="2"/>
        <v>91.333333333333329</v>
      </c>
      <c r="V47" s="12" t="str">
        <f t="shared" si="3"/>
        <v>Clase A</v>
      </c>
    </row>
    <row r="48" spans="1:22" x14ac:dyDescent="0.2">
      <c r="A48" s="13" t="s">
        <v>132</v>
      </c>
      <c r="B48" s="14" t="str">
        <f>IF(A48="","",INDEX(proveedores[Proveedor],MATCH(A48,proveedores[Código],0)))</f>
        <v>ENTRO CORP.</v>
      </c>
      <c r="C48" s="14" t="str">
        <f>IF(A48="","",INDEX(proveedores[Material],MATCH(A48,proveedores[Código],0)))</f>
        <v>Melamina</v>
      </c>
      <c r="D48" s="15" t="str">
        <f>IF(A48="","",INDEX(proveedores[Perfil],MATCH(A48,proveedores[Código],0)))</f>
        <v>Internacional</v>
      </c>
      <c r="E48" s="15" t="str">
        <f>IF(A48="","",IFERROR(INDEX(proveedores[Nivel de criticidad],MATCH(A48,proveedores[Código],0)),""))</f>
        <v>Alta (Tipo A)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/>
      <c r="M48" s="1"/>
      <c r="N48" s="1"/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5">
        <f t="shared" si="2"/>
        <v>98</v>
      </c>
      <c r="V48" s="12" t="str">
        <f t="shared" si="3"/>
        <v>Clase A++</v>
      </c>
    </row>
    <row r="49" spans="1:22" x14ac:dyDescent="0.2">
      <c r="A49" s="13" t="s">
        <v>135</v>
      </c>
      <c r="B49" s="14" t="str">
        <f>IF(A49="","",INDEX(proveedores[Proveedor],MATCH(A49,proveedores[Código],0)))</f>
        <v>ENTRO CORP.</v>
      </c>
      <c r="C49" s="14" t="str">
        <f>IF(A49="","",INDEX(proveedores[Material],MATCH(A49,proveedores[Código],0)))</f>
        <v>Trietanolamina</v>
      </c>
      <c r="D49" s="15" t="str">
        <f>IF(A49="","",INDEX(proveedores[Perfil],MATCH(A49,proveedores[Código],0)))</f>
        <v>Internacional</v>
      </c>
      <c r="E49" s="15" t="str">
        <f>IF(A49="","",IFERROR(INDEX(proveedores[Nivel de criticidad],MATCH(A49,proveedores[Código],0)),""))</f>
        <v>Alta (Tipo A)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/>
      <c r="M49" s="1"/>
      <c r="N49" s="1"/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1</v>
      </c>
      <c r="U49" s="5">
        <f t="shared" si="2"/>
        <v>100</v>
      </c>
      <c r="V49" s="12" t="str">
        <f t="shared" si="3"/>
        <v>Clase A++</v>
      </c>
    </row>
    <row r="50" spans="1:22" x14ac:dyDescent="0.2">
      <c r="A50" s="13" t="s">
        <v>138</v>
      </c>
      <c r="B50" s="14" t="str">
        <f>IF(A50="","",INDEX(proveedores[Proveedor],MATCH(A50,proveedores[Código],0)))</f>
        <v>ESKAS</v>
      </c>
      <c r="C50" s="14" t="str">
        <f>IF(A50="","",INDEX(proveedores[Material],MATCH(A50,proveedores[Código],0)))</f>
        <v>Melamina</v>
      </c>
      <c r="D50" s="15" t="str">
        <f>IF(A50="","",INDEX(proveedores[Perfil],MATCH(A50,proveedores[Código],0)))</f>
        <v>Internacional</v>
      </c>
      <c r="E50" s="15" t="str">
        <f>IF(A50="","",IFERROR(INDEX(proveedores[Nivel de criticidad],MATCH(A50,proveedores[Código],0)),""))</f>
        <v>Alta (Tipo A)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/>
      <c r="M50" s="1"/>
      <c r="N50" s="1"/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1</v>
      </c>
      <c r="U50" s="5">
        <f t="shared" si="2"/>
        <v>98</v>
      </c>
      <c r="V50" s="12" t="str">
        <f t="shared" si="3"/>
        <v>Clase A++</v>
      </c>
    </row>
    <row r="51" spans="1:22" x14ac:dyDescent="0.2">
      <c r="A51" s="13" t="s">
        <v>171</v>
      </c>
      <c r="B51" s="14" t="str">
        <f>IF(A51="","",INDEX(proveedores[Proveedor],MATCH(A51,proveedores[Código],0)))</f>
        <v>FRADEALCO</v>
      </c>
      <c r="C51" s="14" t="str">
        <f>IF(A51="","",INDEX(proveedores[Material],MATCH(A51,proveedores[Código],0)))</f>
        <v>Alcohol</v>
      </c>
      <c r="D51" s="15" t="str">
        <f>IF(A51="","",INDEX(proveedores[Perfil],MATCH(A51,proveedores[Código],0)))</f>
        <v>Local Insumos</v>
      </c>
      <c r="E51" s="15" t="str">
        <f>IF(A51="","",IFERROR(INDEX(proveedores[Nivel de criticidad],MATCH(A51,proveedores[Código],0)),""))</f>
        <v>Alta (Tipo A)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5">
        <f t="shared" si="2"/>
        <v>97.5</v>
      </c>
      <c r="V51" s="12" t="str">
        <f t="shared" si="3"/>
        <v>Clase A++</v>
      </c>
    </row>
    <row r="52" spans="1:22" x14ac:dyDescent="0.2">
      <c r="A52" s="13" t="s">
        <v>161</v>
      </c>
      <c r="B52" s="14" t="str">
        <f>IF(A52="","",INDEX(proveedores[Proveedor],MATCH(A52,proveedores[Código],0)))</f>
        <v>INQUIMEX</v>
      </c>
      <c r="C52" s="14" t="str">
        <f>IF(A52="","",INDEX(proveedores[Material],MATCH(A52,proveedores[Código],0)))</f>
        <v>Urea</v>
      </c>
      <c r="D52" s="15" t="str">
        <f>IF(A52="","",INDEX(proveedores[Perfil],MATCH(A52,proveedores[Código],0)))</f>
        <v>Local Insumos</v>
      </c>
      <c r="E52" s="15" t="str">
        <f>IF(A52="","",IFERROR(INDEX(proveedores[Nivel de criticidad],MATCH(A52,proveedores[Código],0)),""))</f>
        <v>Alta (Tipo A)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5">
        <f t="shared" si="2"/>
        <v>92</v>
      </c>
      <c r="V52" s="12" t="str">
        <f t="shared" si="3"/>
        <v>Clase A</v>
      </c>
    </row>
    <row r="53" spans="1:22" x14ac:dyDescent="0.2">
      <c r="A53" s="13" t="s">
        <v>194</v>
      </c>
      <c r="B53" s="14" t="str">
        <f>IF(A53="","",INDEX(proveedores[Proveedor],MATCH(A53,proveedores[Código],0)))</f>
        <v>KEKOL</v>
      </c>
      <c r="C53" s="14" t="str">
        <f>IF(A53="","",INDEX(proveedores[Material],MATCH(A53,proveedores[Código],0)))</f>
        <v>Adhesivos</v>
      </c>
      <c r="D53" s="15" t="str">
        <f>IF(A53="","",INDEX(proveedores[Perfil],MATCH(A53,proveedores[Código],0)))</f>
        <v>Local Insumos</v>
      </c>
      <c r="E53" s="15" t="str">
        <f>IF(A53="","",IFERROR(INDEX(proveedores[Nivel de criticidad],MATCH(A53,proveedores[Código],0)),""))</f>
        <v>Alta (Tipo A)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1</v>
      </c>
      <c r="R53" s="1">
        <v>0</v>
      </c>
      <c r="S53" s="1">
        <v>0</v>
      </c>
      <c r="T53" s="1">
        <v>1</v>
      </c>
      <c r="U53" s="5">
        <f t="shared" si="2"/>
        <v>96.5</v>
      </c>
      <c r="V53" s="12" t="str">
        <f t="shared" si="3"/>
        <v>Clase A++</v>
      </c>
    </row>
    <row r="54" spans="1:22" x14ac:dyDescent="0.2">
      <c r="A54" s="13" t="s">
        <v>170</v>
      </c>
      <c r="B54" s="14" t="str">
        <f>IF(A54="","",INDEX(proveedores[Proveedor],MATCH(A54,proveedores[Código],0)))</f>
        <v>PORTA HNOS</v>
      </c>
      <c r="C54" s="14" t="str">
        <f>IF(A54="","",INDEX(proveedores[Material],MATCH(A54,proveedores[Código],0)))</f>
        <v>Alcohol</v>
      </c>
      <c r="D54" s="15" t="str">
        <f>IF(A54="","",INDEX(proveedores[Perfil],MATCH(A54,proveedores[Código],0)))</f>
        <v>Local Insumos</v>
      </c>
      <c r="E54" s="15" t="str">
        <f>IF(A54="","",IFERROR(INDEX(proveedores[Nivel de criticidad],MATCH(A54,proveedores[Código],0)),""))</f>
        <v>Alta (Tipo A)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1</v>
      </c>
      <c r="R54" s="1">
        <v>0</v>
      </c>
      <c r="S54" s="1">
        <v>1</v>
      </c>
      <c r="T54" s="1">
        <v>0</v>
      </c>
      <c r="U54" s="5">
        <f t="shared" si="2"/>
        <v>98</v>
      </c>
      <c r="V54" s="12" t="str">
        <f t="shared" si="3"/>
        <v>Clase A++</v>
      </c>
    </row>
    <row r="55" spans="1:22" x14ac:dyDescent="0.2">
      <c r="A55" s="13" t="s">
        <v>150</v>
      </c>
      <c r="B55" s="14" t="str">
        <f>IF(A55="","",INDEX(proveedores[Proveedor],MATCH(A55,proveedores[Código],0)))</f>
        <v>RESINAS CONCORDIA</v>
      </c>
      <c r="C55" s="14" t="str">
        <f>IF(A55="","",INDEX(proveedores[Material],MATCH(A55,proveedores[Código],0)))</f>
        <v>Formol</v>
      </c>
      <c r="D55" s="15" t="str">
        <f>IF(A55="","",INDEX(proveedores[Perfil],MATCH(A55,proveedores[Código],0)))</f>
        <v>Local Insumos</v>
      </c>
      <c r="E55" s="15" t="str">
        <f>IF(A55="","",IFERROR(INDEX(proveedores[Nivel de criticidad],MATCH(A55,proveedores[Código],0)),""))</f>
        <v>Alta (Tipo A)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1</v>
      </c>
      <c r="Q55" s="1">
        <v>1</v>
      </c>
      <c r="R55" s="1">
        <v>0</v>
      </c>
      <c r="S55" s="1">
        <v>1</v>
      </c>
      <c r="T55" s="1">
        <v>1</v>
      </c>
      <c r="U55" s="5">
        <f t="shared" si="2"/>
        <v>98</v>
      </c>
      <c r="V55" s="12" t="str">
        <f t="shared" si="3"/>
        <v>Clase A++</v>
      </c>
    </row>
    <row r="56" spans="1:22" x14ac:dyDescent="0.2">
      <c r="A56" s="13" t="s">
        <v>157</v>
      </c>
      <c r="B56" s="14" t="str">
        <f>IF(A56="","",INDEX(proveedores[Proveedor],MATCH(A56,proveedores[Código],0)))</f>
        <v>RESINAS CONCORDIA</v>
      </c>
      <c r="C56" s="14" t="str">
        <f>IF(A56="","",INDEX(proveedores[Material],MATCH(A56,proveedores[Código],0)))</f>
        <v>UFC</v>
      </c>
      <c r="D56" s="15" t="str">
        <f>IF(A56="","",INDEX(proveedores[Perfil],MATCH(A56,proveedores[Código],0)))</f>
        <v>Local Insumos</v>
      </c>
      <c r="E56" s="15" t="str">
        <f>IF(A56="","",IFERROR(INDEX(proveedores[Nivel de criticidad],MATCH(A56,proveedores[Código],0)),""))</f>
        <v>Alta (Tipo A)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1</v>
      </c>
      <c r="R56" s="1">
        <v>0</v>
      </c>
      <c r="S56" s="1">
        <v>1</v>
      </c>
      <c r="T56" s="1">
        <v>1</v>
      </c>
      <c r="U56" s="5">
        <f t="shared" si="2"/>
        <v>98</v>
      </c>
      <c r="V56" s="12" t="str">
        <f t="shared" si="3"/>
        <v>Clase A++</v>
      </c>
    </row>
    <row r="57" spans="1:22" x14ac:dyDescent="0.2">
      <c r="A57" s="13" t="s">
        <v>181</v>
      </c>
      <c r="B57" s="14" t="str">
        <f>IF(A57="","",INDEX(proveedores[Proveedor],MATCH(A57,proveedores[Código],0)))</f>
        <v>RHODIA</v>
      </c>
      <c r="C57" s="14" t="str">
        <f>IF(A57="","",INDEX(proveedores[Material],MATCH(A57,proveedores[Código],0)))</f>
        <v>Fenol</v>
      </c>
      <c r="D57" s="15" t="str">
        <f>IF(A57="","",INDEX(proveedores[Perfil],MATCH(A57,proveedores[Código],0)))</f>
        <v>Local Insumos</v>
      </c>
      <c r="E57" s="15" t="str">
        <f>IF(A57="","",IFERROR(INDEX(proveedores[Nivel de criticidad],MATCH(A57,proveedores[Código],0)),""))</f>
        <v>Alta (Tipo A)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</v>
      </c>
      <c r="P57" s="1">
        <v>1</v>
      </c>
      <c r="Q57" s="1">
        <v>1</v>
      </c>
      <c r="R57" s="1">
        <v>0</v>
      </c>
      <c r="S57" s="1">
        <v>1</v>
      </c>
      <c r="T57" s="1">
        <v>1</v>
      </c>
      <c r="U57" s="5">
        <f t="shared" si="2"/>
        <v>95.5</v>
      </c>
      <c r="V57" s="12" t="str">
        <f t="shared" si="3"/>
        <v>Clase A</v>
      </c>
    </row>
    <row r="58" spans="1:22" x14ac:dyDescent="0.2">
      <c r="A58" s="13" t="s">
        <v>147</v>
      </c>
      <c r="B58" s="14" t="str">
        <f>IF(A58="","",INDEX(proveedores[Proveedor],MATCH(A58,proveedores[Código],0)))</f>
        <v>SASOL</v>
      </c>
      <c r="C58" s="14" t="str">
        <f>IF(A58="","",INDEX(proveedores[Material],MATCH(A58,proveedores[Código],0)))</f>
        <v>Fenol</v>
      </c>
      <c r="D58" s="15" t="str">
        <f>IF(A58="","",INDEX(proveedores[Perfil],MATCH(A58,proveedores[Código],0)))</f>
        <v>Internacional</v>
      </c>
      <c r="E58" s="15" t="str">
        <f>IF(A58="","",IFERROR(INDEX(proveedores[Nivel de criticidad],MATCH(A58,proveedores[Código],0)),""))</f>
        <v>Alta (Tipo A)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/>
      <c r="M58" s="1"/>
      <c r="N58" s="1"/>
      <c r="O58" s="1">
        <v>0</v>
      </c>
      <c r="P58" s="1">
        <v>1</v>
      </c>
      <c r="Q58" s="1">
        <v>1</v>
      </c>
      <c r="R58" s="1">
        <v>0</v>
      </c>
      <c r="S58" s="1">
        <v>1</v>
      </c>
      <c r="T58" s="1">
        <v>1</v>
      </c>
      <c r="U58" s="5">
        <f t="shared" si="2"/>
        <v>97.833333333333343</v>
      </c>
      <c r="V58" s="12" t="str">
        <f t="shared" si="3"/>
        <v>Clase A++</v>
      </c>
    </row>
    <row r="59" spans="1:22" x14ac:dyDescent="0.2">
      <c r="A59" s="13" t="s">
        <v>163</v>
      </c>
      <c r="B59" s="14" t="str">
        <f>IF(A59="","",INDEX(proveedores[Proveedor],MATCH(A59,proveedores[Código],0)))</f>
        <v>YPF</v>
      </c>
      <c r="C59" s="14" t="str">
        <f>IF(A59="","",INDEX(proveedores[Material],MATCH(A59,proveedores[Código],0)))</f>
        <v>Urea</v>
      </c>
      <c r="D59" s="15" t="str">
        <f>IF(A59="","",INDEX(proveedores[Perfil],MATCH(A59,proveedores[Código],0)))</f>
        <v>Local Insumos</v>
      </c>
      <c r="E59" s="15" t="str">
        <f>IF(A59="","",IFERROR(INDEX(proveedores[Nivel de criticidad],MATCH(A59,proveedores[Código],0)),""))</f>
        <v>Alta (Tipo A)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1</v>
      </c>
      <c r="Q59" s="1">
        <v>1</v>
      </c>
      <c r="R59" s="1">
        <v>0</v>
      </c>
      <c r="S59" s="1">
        <v>1</v>
      </c>
      <c r="T59" s="1">
        <v>0</v>
      </c>
      <c r="U59" s="5">
        <f t="shared" si="2"/>
        <v>98</v>
      </c>
      <c r="V59" s="12" t="str">
        <f t="shared" si="3"/>
        <v>Clase A++</v>
      </c>
    </row>
    <row r="60" spans="1:22" x14ac:dyDescent="0.2">
      <c r="A60" s="13" t="s">
        <v>209</v>
      </c>
      <c r="B60" s="14" t="str">
        <f>IF(A60="","",INDEX(proveedores[Proveedor],MATCH(A60,proveedores[Código],0)))</f>
        <v>AMSI</v>
      </c>
      <c r="C60" s="14" t="str">
        <f>IF(A60="","",INDEX(proveedores[Material],MATCH(A60,proveedores[Código],0)))</f>
        <v>Personal eventual</v>
      </c>
      <c r="D60" s="15" t="str">
        <f>IF(A60="","",INDEX(proveedores[Perfil],MATCH(A60,proveedores[Código],0)))</f>
        <v>Servicios/Fletes</v>
      </c>
      <c r="E60" s="15" t="str">
        <f>IF(A60="","",IFERROR(INDEX(proveedores[Nivel de criticidad],MATCH(A60,proveedores[Código],0)),""))</f>
        <v>Baja (Tipo C)</v>
      </c>
      <c r="F60" s="1"/>
      <c r="G60" s="1"/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/>
      <c r="R60" s="1"/>
      <c r="S60" s="1"/>
      <c r="T60" s="1"/>
      <c r="U60" s="5">
        <f t="shared" si="2"/>
        <v>95</v>
      </c>
      <c r="V60" s="12" t="str">
        <f t="shared" si="3"/>
        <v>Clase A</v>
      </c>
    </row>
    <row r="61" spans="1:22" x14ac:dyDescent="0.2">
      <c r="A61" s="13" t="s">
        <v>206</v>
      </c>
      <c r="B61" s="14" t="str">
        <f>IF(A61="","",INDEX(proveedores[Proveedor],MATCH(A61,proveedores[Código],0)))</f>
        <v>BBB EXPRESS</v>
      </c>
      <c r="C61" s="14" t="str">
        <f>IF(A61="","",INDEX(proveedores[Material],MATCH(A61,proveedores[Código],0)))</f>
        <v>Flete</v>
      </c>
      <c r="D61" s="15" t="str">
        <f>IF(A61="","",INDEX(proveedores[Perfil],MATCH(A61,proveedores[Código],0)))</f>
        <v>Servicios/Fletes</v>
      </c>
      <c r="E61" s="15" t="str">
        <f>IF(A61="","",IFERROR(INDEX(proveedores[Nivel de criticidad],MATCH(A61,proveedores[Código],0)),""))</f>
        <v>Media (Tipo B)</v>
      </c>
      <c r="F61" s="1"/>
      <c r="G61" s="1"/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/>
      <c r="R61" s="1"/>
      <c r="S61" s="1"/>
      <c r="T61" s="1"/>
      <c r="U61" s="5">
        <f t="shared" si="2"/>
        <v>86.199999999999989</v>
      </c>
      <c r="V61" s="12" t="str">
        <f t="shared" si="3"/>
        <v>Clase A</v>
      </c>
    </row>
    <row r="62" spans="1:22" x14ac:dyDescent="0.2">
      <c r="A62" s="13" t="s">
        <v>208</v>
      </c>
      <c r="B62" s="14" t="str">
        <f>IF(A62="","",INDEX(proveedores[Proveedor],MATCH(A62,proveedores[Código],0)))</f>
        <v>CAZ SAS</v>
      </c>
      <c r="C62" s="14" t="str">
        <f>IF(A62="","",INDEX(proveedores[Material],MATCH(A62,proveedores[Código],0)))</f>
        <v>Personal eventual</v>
      </c>
      <c r="D62" s="15" t="str">
        <f>IF(A62="","",INDEX(proveedores[Perfil],MATCH(A62,proveedores[Código],0)))</f>
        <v>Servicios/Fletes</v>
      </c>
      <c r="E62" s="15" t="str">
        <f>IF(A62="","",IFERROR(INDEX(proveedores[Nivel de criticidad],MATCH(A62,proveedores[Código],0)),""))</f>
        <v>Baja (Tipo C)</v>
      </c>
      <c r="F62" s="1"/>
      <c r="G62" s="1"/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/>
      <c r="R62" s="1"/>
      <c r="S62" s="1"/>
      <c r="T62" s="1"/>
      <c r="U62" s="5">
        <f t="shared" si="2"/>
        <v>95</v>
      </c>
      <c r="V62" s="12" t="str">
        <f t="shared" si="3"/>
        <v>Clase A</v>
      </c>
    </row>
    <row r="63" spans="1:22" x14ac:dyDescent="0.2">
      <c r="A63" s="13" t="s">
        <v>205</v>
      </c>
      <c r="B63" s="14" t="str">
        <f>IF(A63="","",INDEX(proveedores[Proveedor],MATCH(A63,proveedores[Código],0)))</f>
        <v>EXPRESIO BRIO</v>
      </c>
      <c r="C63" s="14" t="str">
        <f>IF(A63="","",INDEX(proveedores[Material],MATCH(A63,proveedores[Código],0)))</f>
        <v>Flete</v>
      </c>
      <c r="D63" s="15" t="str">
        <f>IF(A63="","",INDEX(proveedores[Perfil],MATCH(A63,proveedores[Código],0)))</f>
        <v>Servicios/Fletes</v>
      </c>
      <c r="E63" s="15" t="str">
        <f>IF(A63="","",IFERROR(INDEX(proveedores[Nivel de criticidad],MATCH(A63,proveedores[Código],0)),""))</f>
        <v>Media (Tipo B)</v>
      </c>
      <c r="F63" s="1"/>
      <c r="G63" s="1"/>
      <c r="H63" s="1">
        <v>1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/>
      <c r="R63" s="1"/>
      <c r="S63" s="1"/>
      <c r="T63" s="1"/>
      <c r="U63" s="5">
        <f t="shared" si="2"/>
        <v>68.599999999999994</v>
      </c>
      <c r="V63" s="12" t="str">
        <f t="shared" si="3"/>
        <v>Clase C</v>
      </c>
    </row>
    <row r="64" spans="1:22" x14ac:dyDescent="0.2">
      <c r="A64" s="13" t="s">
        <v>203</v>
      </c>
      <c r="B64" s="14" t="str">
        <f>IF(A64="","",INDEX(proveedores[Proveedor],MATCH(A64,proveedores[Código],0)))</f>
        <v>MTL</v>
      </c>
      <c r="C64" s="14" t="str">
        <f>IF(A64="","",INDEX(proveedores[Material],MATCH(A64,proveedores[Código],0)))</f>
        <v>Flete</v>
      </c>
      <c r="D64" s="15" t="str">
        <f>IF(A64="","",INDEX(proveedores[Perfil],MATCH(A64,proveedores[Código],0)))</f>
        <v>Servicios/Fletes</v>
      </c>
      <c r="E64" s="15" t="str">
        <f>IF(A64="","",IFERROR(INDEX(proveedores[Nivel de criticidad],MATCH(A64,proveedores[Código],0)),""))</f>
        <v>Media (Tipo B)</v>
      </c>
      <c r="F64" s="1"/>
      <c r="G64" s="1"/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/>
      <c r="R64" s="1"/>
      <c r="S64" s="1"/>
      <c r="T64" s="1"/>
      <c r="U64" s="5">
        <f t="shared" si="2"/>
        <v>98</v>
      </c>
      <c r="V64" s="12" t="str">
        <f t="shared" si="3"/>
        <v>Clase A++</v>
      </c>
    </row>
    <row r="65" spans="1:22" x14ac:dyDescent="0.2">
      <c r="A65" s="13" t="s">
        <v>207</v>
      </c>
      <c r="B65" s="14" t="str">
        <f>IF(A65="","",INDEX(proveedores[Proveedor],MATCH(A65,proveedores[Código],0)))</f>
        <v>TYC</v>
      </c>
      <c r="C65" s="14" t="str">
        <f>IF(A65="","",INDEX(proveedores[Material],MATCH(A65,proveedores[Código],0)))</f>
        <v>Flete</v>
      </c>
      <c r="D65" s="15" t="str">
        <f>IF(A65="","",INDEX(proveedores[Perfil],MATCH(A65,proveedores[Código],0)))</f>
        <v>Servicios/Fletes</v>
      </c>
      <c r="E65" s="15" t="str">
        <f>IF(A65="","",IFERROR(INDEX(proveedores[Nivel de criticidad],MATCH(A65,proveedores[Código],0)),""))</f>
        <v>Media (Tipo B)</v>
      </c>
      <c r="F65" s="1"/>
      <c r="G65" s="1"/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/>
      <c r="R65" s="1"/>
      <c r="S65" s="1"/>
      <c r="T65" s="1"/>
      <c r="U65" s="5">
        <f t="shared" si="2"/>
        <v>95</v>
      </c>
      <c r="V65" s="12" t="str">
        <f t="shared" si="3"/>
        <v>Clase A</v>
      </c>
    </row>
    <row r="66" spans="1:22" x14ac:dyDescent="0.2">
      <c r="A66" s="13" t="s">
        <v>168</v>
      </c>
      <c r="B66" s="14" t="str">
        <f>IF(A66="","",INDEX(proveedores[Proveedor],MATCH(A66,proveedores[Código],0)))</f>
        <v>FLEXOTINT</v>
      </c>
      <c r="C66" s="14" t="str">
        <f>IF(A66="","",INDEX(proveedores[Material],MATCH(A66,proveedores[Código],0)))</f>
        <v>Tintas</v>
      </c>
      <c r="D66" s="15" t="str">
        <f>IF(A66="","",INDEX(proveedores[Perfil],MATCH(A66,proveedores[Código],0)))</f>
        <v>Local Insumos</v>
      </c>
      <c r="E66" s="15" t="str">
        <f>IF(A66="","",IFERROR(INDEX(proveedores[Nivel de criticidad],MATCH(A66,proveedores[Código],0)),""))</f>
        <v>Alta (Tipo A)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0</v>
      </c>
      <c r="T66" s="1">
        <v>0</v>
      </c>
      <c r="U66" s="5">
        <f t="shared" si="2"/>
        <v>92</v>
      </c>
      <c r="V66" s="12" t="str">
        <f t="shared" si="3"/>
        <v>Clase A</v>
      </c>
    </row>
    <row r="67" spans="1:22" x14ac:dyDescent="0.2">
      <c r="A67" s="13" t="s">
        <v>169</v>
      </c>
      <c r="B67" s="14" t="str">
        <f>IF(A67="","",INDEX(proveedores[Proveedor],MATCH(A67,proveedores[Código],0)))</f>
        <v>LUMPACK</v>
      </c>
      <c r="C67" s="14" t="str">
        <f>IF(A67="","",INDEX(proveedores[Material],MATCH(A67,proveedores[Código],0)))</f>
        <v>Tintas</v>
      </c>
      <c r="D67" s="15" t="str">
        <f>IF(A67="","",INDEX(proveedores[Perfil],MATCH(A67,proveedores[Código],0)))</f>
        <v>Local Insumos</v>
      </c>
      <c r="E67" s="15" t="str">
        <f>IF(A67="","",IFERROR(INDEX(proveedores[Nivel de criticidad],MATCH(A67,proveedores[Código],0)),""))</f>
        <v>Alta (Tipo A)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5">
        <f t="shared" si="2"/>
        <v>92</v>
      </c>
      <c r="V67" s="12" t="str">
        <f t="shared" si="3"/>
        <v>Clase A</v>
      </c>
    </row>
    <row r="68" spans="1:22" x14ac:dyDescent="0.2">
      <c r="A68" s="13" t="s">
        <v>167</v>
      </c>
      <c r="B68" s="14" t="str">
        <f>IF(A68="","",INDEX(proveedores[Proveedor],MATCH(A68,proveedores[Código],0)))</f>
        <v>A TONAL</v>
      </c>
      <c r="C68" s="14" t="str">
        <f>IF(A68="","",INDEX(proveedores[Material],MATCH(A68,proveedores[Código],0)))</f>
        <v>Tintas</v>
      </c>
      <c r="D68" s="15" t="str">
        <f>IF(A68="","",INDEX(proveedores[Perfil],MATCH(A68,proveedores[Código],0)))</f>
        <v>Local Insumos</v>
      </c>
      <c r="E68" s="15" t="str">
        <f>IF(A68="","",IFERROR(INDEX(proveedores[Nivel de criticidad],MATCH(A68,proveedores[Código],0)),""))</f>
        <v>Alta (Tipo A)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0</v>
      </c>
      <c r="T68" s="1">
        <v>1</v>
      </c>
      <c r="U68" s="5">
        <f t="shared" si="2"/>
        <v>98</v>
      </c>
      <c r="V68" s="12" t="str">
        <f t="shared" si="3"/>
        <v>Clase A++</v>
      </c>
    </row>
    <row r="69" spans="1:22" x14ac:dyDescent="0.2">
      <c r="A69" s="13"/>
      <c r="B69" s="14" t="str">
        <f>IF(A69="","",INDEX(proveedores[Proveedor],MATCH(A69,proveedores[Código],0)))</f>
        <v/>
      </c>
      <c r="C69" s="14" t="str">
        <f>IF(A69="","",INDEX(proveedores[Material],MATCH(A69,proveedores[Código],0)))</f>
        <v/>
      </c>
      <c r="D69" s="15" t="str">
        <f>IF(A69="","",INDEX(proveedores[Perfil],MATCH(A69,proveedores[Código],0)))</f>
        <v/>
      </c>
      <c r="E69" s="15" t="str">
        <f>IF(A69="","",IFERROR(INDEX(proveedores[Nivel de criticidad],MATCH(A69,proveedores[Código],0)),""))</f>
        <v/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5">
        <f t="shared" si="2"/>
        <v>100</v>
      </c>
      <c r="V69" s="12" t="str">
        <f t="shared" si="3"/>
        <v>Clase A++</v>
      </c>
    </row>
    <row r="70" spans="1:22" x14ac:dyDescent="0.2">
      <c r="A70" s="13"/>
      <c r="B70" s="14" t="str">
        <f>IF(A70="","",INDEX(proveedores[Proveedor],MATCH(A70,proveedores[Código],0)))</f>
        <v/>
      </c>
      <c r="C70" s="14" t="str">
        <f>IF(A70="","",INDEX(proveedores[Material],MATCH(A70,proveedores[Código],0)))</f>
        <v/>
      </c>
      <c r="D70" s="15" t="str">
        <f>IF(A70="","",INDEX(proveedores[Perfil],MATCH(A70,proveedores[Código],0)))</f>
        <v/>
      </c>
      <c r="E70" s="15" t="str">
        <f>IF(A70="","",IFERROR(INDEX(proveedores[Nivel de criticidad],MATCH(A70,proveedores[Código],0)),""))</f>
        <v/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5">
        <f t="shared" ref="U70:U101" si="4">IF(D70="Internacional", MIN(IF(((F70*10)+(G70*3)+(H70*4)+(I70*5)+(J70*8)+(O70*5)+(P70*2)+IF(L70="N/A",0,(L70*10)+(M70*5)+(N70*3)))&gt;0,98,100), ((MAX(0, 30 - (F70*10) - (G70*3))/30)*45) + ((MAX(0, 25 - (H70*4) - (I70*5) - (J70*8) - (K70*5))/25)*35) + ((MAX(0, 15 - (O70*5) - (P70*2))/15)*20) + (IF(Q70="N/A",0,Q70)*2.5) + (IF(R70="N/A",0,R70)*2.5) + (IF(S70="N/A",0,S70)*2.5) + (IF(T70="N/A",0,T70)*2.5)), IF(D70="Local Insumos", MIN(IF(((F70*10)+(G70*3)+(H70*4)+(I70*5)+(J70*8)+(O70*5)+(P70*2)+IF(L70="N/A",0,(L70*10)+(M70*5)+(N70*3)))&gt;0,98,100), ((MAX(0, 30 - (F70*10) - (G70*3))/30)*35) + ((MAX(0, 25 - (H70*4) - (I70*5) - (J70*8) - (K70*5))/25)*30) + MAX(0, 20 - (L70*10) - (M70*5) - (N70*3)) + MAX(0, 15 - (O70*5) - (P70*2)) + (IF(Q70="N/A",0,Q70)*2.5) + (IF(R70="N/A",0,R70)*2.5) + (IF(S70="N/A",0,S70)*2.5) + (IF(T70="N/A",0,T70)*2.5)), MIN(IF(((F70*10)+(G70*3)+(H70*4)+(I70*5)+(J70*8)+(O70*5)+(P70*2)+IF(L70="N/A",0,(L70*10)+(M70*5)+(N70*3)))&gt;0,98,100), ((MAX(0, 25 - (H70*4) - (I70*5) - (J70*8) - (K70*5))/25)*55) + ((MAX(0, 20 - (L70*10) - (M70*5) - (N70*3))/20)*30) + ((MAX(0, 15 - (O70*5) - (P70*2))/15)*15))))</f>
        <v>100</v>
      </c>
      <c r="V70" s="12" t="str">
        <f t="shared" ref="V70:V101" si="5">IF(U70&gt;=96, "Clase A++", IF(U70&gt;=85, "Clase A", IF(U70&gt;=70, "Clase B", "Clase C")))</f>
        <v>Clase A++</v>
      </c>
    </row>
    <row r="71" spans="1:22" x14ac:dyDescent="0.2">
      <c r="A71" s="13"/>
      <c r="B71" s="14" t="str">
        <f>IF(A71="","",INDEX(proveedores[Proveedor],MATCH(A71,proveedores[Código],0)))</f>
        <v/>
      </c>
      <c r="C71" s="14" t="str">
        <f>IF(A71="","",INDEX(proveedores[Material],MATCH(A71,proveedores[Código],0)))</f>
        <v/>
      </c>
      <c r="D71" s="15" t="str">
        <f>IF(A71="","",INDEX(proveedores[Perfil],MATCH(A71,proveedores[Código],0)))</f>
        <v/>
      </c>
      <c r="E71" s="15" t="str">
        <f>IF(A71="","",IFERROR(INDEX(proveedores[Nivel de criticidad],MATCH(A71,proveedores[Código],0)),""))</f>
        <v/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5">
        <f t="shared" si="4"/>
        <v>100</v>
      </c>
      <c r="V71" s="12" t="str">
        <f t="shared" si="5"/>
        <v>Clase A++</v>
      </c>
    </row>
    <row r="72" spans="1:22" x14ac:dyDescent="0.2">
      <c r="A72" s="13"/>
      <c r="B72" s="14" t="str">
        <f>IF(A72="","",INDEX(proveedores[Proveedor],MATCH(A72,proveedores[Código],0)))</f>
        <v/>
      </c>
      <c r="C72" s="14" t="str">
        <f>IF(A72="","",INDEX(proveedores[Material],MATCH(A72,proveedores[Código],0)))</f>
        <v/>
      </c>
      <c r="D72" s="15" t="str">
        <f>IF(A72="","",INDEX(proveedores[Perfil],MATCH(A72,proveedores[Código],0)))</f>
        <v/>
      </c>
      <c r="E72" s="15" t="str">
        <f>IF(A72="","",IFERROR(INDEX(proveedores[Nivel de criticidad],MATCH(A72,proveedores[Código],0)),""))</f>
        <v/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5">
        <f t="shared" si="4"/>
        <v>100</v>
      </c>
      <c r="V72" s="12" t="str">
        <f t="shared" si="5"/>
        <v>Clase A++</v>
      </c>
    </row>
    <row r="73" spans="1:22" x14ac:dyDescent="0.2">
      <c r="A73" s="13"/>
      <c r="B73" s="14" t="str">
        <f>IF(A73="","",INDEX(proveedores[Proveedor],MATCH(A73,proveedores[Código],0)))</f>
        <v/>
      </c>
      <c r="C73" s="14" t="str">
        <f>IF(A73="","",INDEX(proveedores[Material],MATCH(A73,proveedores[Código],0)))</f>
        <v/>
      </c>
      <c r="D73" s="15" t="str">
        <f>IF(A73="","",INDEX(proveedores[Perfil],MATCH(A73,proveedores[Código],0)))</f>
        <v/>
      </c>
      <c r="E73" s="15" t="str">
        <f>IF(A73="","",IFERROR(INDEX(proveedores[Nivel de criticidad],MATCH(A73,proveedores[Código],0)),""))</f>
        <v/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5">
        <f t="shared" si="4"/>
        <v>100</v>
      </c>
      <c r="V73" s="12" t="str">
        <f t="shared" si="5"/>
        <v>Clase A++</v>
      </c>
    </row>
    <row r="74" spans="1:22" x14ac:dyDescent="0.2">
      <c r="A74" s="13"/>
      <c r="B74" s="14" t="str">
        <f>IF(A74="","",INDEX(proveedores[Proveedor],MATCH(A74,proveedores[Código],0)))</f>
        <v/>
      </c>
      <c r="C74" s="14" t="str">
        <f>IF(A74="","",INDEX(proveedores[Material],MATCH(A74,proveedores[Código],0)))</f>
        <v/>
      </c>
      <c r="D74" s="15" t="str">
        <f>IF(A74="","",INDEX(proveedores[Perfil],MATCH(A74,proveedores[Código],0)))</f>
        <v/>
      </c>
      <c r="E74" s="15" t="str">
        <f>IF(A74="","",IFERROR(INDEX(proveedores[Nivel de criticidad],MATCH(A74,proveedores[Código],0)),""))</f>
        <v/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5">
        <f t="shared" si="4"/>
        <v>100</v>
      </c>
      <c r="V74" s="12" t="str">
        <f t="shared" si="5"/>
        <v>Clase A++</v>
      </c>
    </row>
    <row r="75" spans="1:22" x14ac:dyDescent="0.2">
      <c r="A75" s="13"/>
      <c r="B75" s="14" t="str">
        <f>IF(A75="","",INDEX(proveedores[Proveedor],MATCH(A75,proveedores[Código],0)))</f>
        <v/>
      </c>
      <c r="C75" s="14" t="str">
        <f>IF(A75="","",INDEX(proveedores[Material],MATCH(A75,proveedores[Código],0)))</f>
        <v/>
      </c>
      <c r="D75" s="15" t="str">
        <f>IF(A75="","",INDEX(proveedores[Perfil],MATCH(A75,proveedores[Código],0)))</f>
        <v/>
      </c>
      <c r="E75" s="15" t="str">
        <f>IF(A75="","",IFERROR(INDEX(proveedores[Nivel de criticidad],MATCH(A75,proveedores[Código],0)),""))</f>
        <v/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5">
        <f t="shared" si="4"/>
        <v>100</v>
      </c>
      <c r="V75" s="12" t="str">
        <f t="shared" si="5"/>
        <v>Clase A++</v>
      </c>
    </row>
    <row r="76" spans="1:22" x14ac:dyDescent="0.2">
      <c r="A76" s="13"/>
      <c r="B76" s="14" t="str">
        <f>IF(A76="","",INDEX(proveedores[Proveedor],MATCH(A76,proveedores[Código],0)))</f>
        <v/>
      </c>
      <c r="C76" s="14" t="str">
        <f>IF(A76="","",INDEX(proveedores[Material],MATCH(A76,proveedores[Código],0)))</f>
        <v/>
      </c>
      <c r="D76" s="15" t="str">
        <f>IF(A76="","",INDEX(proveedores[Perfil],MATCH(A76,proveedores[Código],0)))</f>
        <v/>
      </c>
      <c r="E76" s="15" t="str">
        <f>IF(A76="","",IFERROR(INDEX(proveedores[Nivel de criticidad],MATCH(A76,proveedores[Código],0)),""))</f>
        <v/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5">
        <f t="shared" si="4"/>
        <v>100</v>
      </c>
      <c r="V76" s="12" t="str">
        <f t="shared" si="5"/>
        <v>Clase A++</v>
      </c>
    </row>
    <row r="77" spans="1:22" x14ac:dyDescent="0.2">
      <c r="A77" s="13"/>
      <c r="B77" s="14" t="str">
        <f>IF(A77="","",INDEX(proveedores[Proveedor],MATCH(A77,proveedores[Código],0)))</f>
        <v/>
      </c>
      <c r="C77" s="14" t="str">
        <f>IF(A77="","",INDEX(proveedores[Material],MATCH(A77,proveedores[Código],0)))</f>
        <v/>
      </c>
      <c r="D77" s="15" t="str">
        <f>IF(A77="","",INDEX(proveedores[Perfil],MATCH(A77,proveedores[Código],0)))</f>
        <v/>
      </c>
      <c r="E77" s="15" t="str">
        <f>IF(A77="","",IFERROR(INDEX(proveedores[Nivel de criticidad],MATCH(A77,proveedores[Código],0)),""))</f>
        <v/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5">
        <f t="shared" si="4"/>
        <v>100</v>
      </c>
      <c r="V77" s="12" t="str">
        <f t="shared" si="5"/>
        <v>Clase A++</v>
      </c>
    </row>
    <row r="78" spans="1:22" x14ac:dyDescent="0.2">
      <c r="A78" s="13"/>
      <c r="B78" s="14" t="str">
        <f>IF(A78="","",INDEX(proveedores[Proveedor],MATCH(A78,proveedores[Código],0)))</f>
        <v/>
      </c>
      <c r="C78" s="14" t="str">
        <f>IF(A78="","",INDEX(proveedores[Material],MATCH(A78,proveedores[Código],0)))</f>
        <v/>
      </c>
      <c r="D78" s="15" t="str">
        <f>IF(A78="","",INDEX(proveedores[Perfil],MATCH(A78,proveedores[Código],0)))</f>
        <v/>
      </c>
      <c r="E78" s="15" t="str">
        <f>IF(A78="","",IFERROR(INDEX(proveedores[Nivel de criticidad],MATCH(A78,proveedores[Código],0)),""))</f>
        <v/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5">
        <f t="shared" si="4"/>
        <v>100</v>
      </c>
      <c r="V78" s="12" t="str">
        <f t="shared" si="5"/>
        <v>Clase A++</v>
      </c>
    </row>
    <row r="79" spans="1:22" x14ac:dyDescent="0.2">
      <c r="A79" s="13"/>
      <c r="B79" s="14" t="str">
        <f>IF(A79="","",INDEX(proveedores[Proveedor],MATCH(A79,proveedores[Código],0)))</f>
        <v/>
      </c>
      <c r="C79" s="14" t="str">
        <f>IF(A79="","",INDEX(proveedores[Material],MATCH(A79,proveedores[Código],0)))</f>
        <v/>
      </c>
      <c r="D79" s="15" t="str">
        <f>IF(A79="","",INDEX(proveedores[Perfil],MATCH(A79,proveedores[Código],0)))</f>
        <v/>
      </c>
      <c r="E79" s="15" t="str">
        <f>IF(A79="","",IFERROR(INDEX(proveedores[Nivel de criticidad],MATCH(A79,proveedores[Código],0)),""))</f>
        <v/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5">
        <f t="shared" si="4"/>
        <v>100</v>
      </c>
      <c r="V79" s="12" t="str">
        <f t="shared" si="5"/>
        <v>Clase A++</v>
      </c>
    </row>
    <row r="80" spans="1:22" x14ac:dyDescent="0.2">
      <c r="A80" s="13"/>
      <c r="B80" s="14" t="str">
        <f>IF(A80="","",INDEX(proveedores[Proveedor],MATCH(A80,proveedores[Código],0)))</f>
        <v/>
      </c>
      <c r="C80" s="14" t="str">
        <f>IF(A80="","",INDEX(proveedores[Material],MATCH(A80,proveedores[Código],0)))</f>
        <v/>
      </c>
      <c r="D80" s="15" t="str">
        <f>IF(A80="","",INDEX(proveedores[Perfil],MATCH(A80,proveedores[Código],0)))</f>
        <v/>
      </c>
      <c r="E80" s="15" t="str">
        <f>IF(A80="","",IFERROR(INDEX(proveedores[Nivel de criticidad],MATCH(A80,proveedores[Código],0)),""))</f>
        <v/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5">
        <f t="shared" si="4"/>
        <v>100</v>
      </c>
      <c r="V80" s="12" t="str">
        <f t="shared" si="5"/>
        <v>Clase A++</v>
      </c>
    </row>
    <row r="81" spans="1:22" x14ac:dyDescent="0.2">
      <c r="A81" s="13"/>
      <c r="B81" s="14" t="str">
        <f>IF(A81="","",INDEX(proveedores[Proveedor],MATCH(A81,proveedores[Código],0)))</f>
        <v/>
      </c>
      <c r="C81" s="14" t="str">
        <f>IF(A81="","",INDEX(proveedores[Material],MATCH(A81,proveedores[Código],0)))</f>
        <v/>
      </c>
      <c r="D81" s="15" t="str">
        <f>IF(A81="","",INDEX(proveedores[Perfil],MATCH(A81,proveedores[Código],0)))</f>
        <v/>
      </c>
      <c r="E81" s="15" t="str">
        <f>IF(A81="","",IFERROR(INDEX(proveedores[Nivel de criticidad],MATCH(A81,proveedores[Código],0)),""))</f>
        <v/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5">
        <f t="shared" si="4"/>
        <v>100</v>
      </c>
      <c r="V81" s="12" t="str">
        <f t="shared" si="5"/>
        <v>Clase A++</v>
      </c>
    </row>
    <row r="82" spans="1:22" x14ac:dyDescent="0.2">
      <c r="A82" s="13"/>
      <c r="B82" s="14" t="str">
        <f>IF(A82="","",INDEX(proveedores[Proveedor],MATCH(A82,proveedores[Código],0)))</f>
        <v/>
      </c>
      <c r="C82" s="14" t="str">
        <f>IF(A82="","",INDEX(proveedores[Material],MATCH(A82,proveedores[Código],0)))</f>
        <v/>
      </c>
      <c r="D82" s="15" t="str">
        <f>IF(A82="","",INDEX(proveedores[Perfil],MATCH(A82,proveedores[Código],0)))</f>
        <v/>
      </c>
      <c r="E82" s="15" t="str">
        <f>IF(A82="","",IFERROR(INDEX(proveedores[Nivel de criticidad],MATCH(A82,proveedores[Código],0)),""))</f>
        <v/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5">
        <f t="shared" si="4"/>
        <v>100</v>
      </c>
      <c r="V82" s="12" t="str">
        <f t="shared" si="5"/>
        <v>Clase A++</v>
      </c>
    </row>
    <row r="83" spans="1:22" x14ac:dyDescent="0.2">
      <c r="A83" s="13"/>
      <c r="B83" s="14" t="str">
        <f>IF(A83="","",INDEX(proveedores[Proveedor],MATCH(A83,proveedores[Código],0)))</f>
        <v/>
      </c>
      <c r="C83" s="14" t="str">
        <f>IF(A83="","",INDEX(proveedores[Material],MATCH(A83,proveedores[Código],0)))</f>
        <v/>
      </c>
      <c r="D83" s="15" t="str">
        <f>IF(A83="","",INDEX(proveedores[Perfil],MATCH(A83,proveedores[Código],0)))</f>
        <v/>
      </c>
      <c r="E83" s="15" t="str">
        <f>IF(A83="","",IFERROR(INDEX(proveedores[Nivel de criticidad],MATCH(A83,proveedores[Código],0)),""))</f>
        <v/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5">
        <f t="shared" si="4"/>
        <v>100</v>
      </c>
      <c r="V83" s="12" t="str">
        <f t="shared" si="5"/>
        <v>Clase A++</v>
      </c>
    </row>
    <row r="84" spans="1:22" x14ac:dyDescent="0.2">
      <c r="A84" s="13"/>
      <c r="B84" s="14" t="str">
        <f>IF(A84="","",INDEX(proveedores[Proveedor],MATCH(A84,proveedores[Código],0)))</f>
        <v/>
      </c>
      <c r="C84" s="14" t="str">
        <f>IF(A84="","",INDEX(proveedores[Material],MATCH(A84,proveedores[Código],0)))</f>
        <v/>
      </c>
      <c r="D84" s="15" t="str">
        <f>IF(A84="","",INDEX(proveedores[Perfil],MATCH(A84,proveedores[Código],0)))</f>
        <v/>
      </c>
      <c r="E84" s="15" t="str">
        <f>IF(A84="","",IFERROR(INDEX(proveedores[Nivel de criticidad],MATCH(A84,proveedores[Código],0)),""))</f>
        <v/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5">
        <f t="shared" si="4"/>
        <v>100</v>
      </c>
      <c r="V84" s="12" t="str">
        <f t="shared" si="5"/>
        <v>Clase A++</v>
      </c>
    </row>
    <row r="85" spans="1:22" x14ac:dyDescent="0.2">
      <c r="A85" s="13"/>
      <c r="B85" s="14" t="str">
        <f>IF(A85="","",INDEX(proveedores[Proveedor],MATCH(A85,proveedores[Código],0)))</f>
        <v/>
      </c>
      <c r="C85" s="14" t="str">
        <f>IF(A85="","",INDEX(proveedores[Material],MATCH(A85,proveedores[Código],0)))</f>
        <v/>
      </c>
      <c r="D85" s="15" t="str">
        <f>IF(A85="","",INDEX(proveedores[Perfil],MATCH(A85,proveedores[Código],0)))</f>
        <v/>
      </c>
      <c r="E85" s="15" t="str">
        <f>IF(A85="","",IFERROR(INDEX(proveedores[Nivel de criticidad],MATCH(A85,proveedores[Código],0)),""))</f>
        <v/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5">
        <f t="shared" si="4"/>
        <v>100</v>
      </c>
      <c r="V85" s="12" t="str">
        <f t="shared" si="5"/>
        <v>Clase A++</v>
      </c>
    </row>
    <row r="86" spans="1:22" x14ac:dyDescent="0.2">
      <c r="A86" s="13"/>
      <c r="B86" s="14" t="str">
        <f>IF(A86="","",INDEX(proveedores[Proveedor],MATCH(A86,proveedores[Código],0)))</f>
        <v/>
      </c>
      <c r="C86" s="14" t="str">
        <f>IF(A86="","",INDEX(proveedores[Material],MATCH(A86,proveedores[Código],0)))</f>
        <v/>
      </c>
      <c r="D86" s="15" t="str">
        <f>IF(A86="","",INDEX(proveedores[Perfil],MATCH(A86,proveedores[Código],0)))</f>
        <v/>
      </c>
      <c r="E86" s="15" t="str">
        <f>IF(A86="","",IFERROR(INDEX(proveedores[Nivel de criticidad],MATCH(A86,proveedores[Código],0)),""))</f>
        <v/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5">
        <f t="shared" si="4"/>
        <v>100</v>
      </c>
      <c r="V86" s="12" t="str">
        <f t="shared" si="5"/>
        <v>Clase A++</v>
      </c>
    </row>
    <row r="87" spans="1:22" x14ac:dyDescent="0.2">
      <c r="A87" s="13"/>
      <c r="B87" s="14" t="str">
        <f>IF(A87="","",INDEX(proveedores[Proveedor],MATCH(A87,proveedores[Código],0)))</f>
        <v/>
      </c>
      <c r="C87" s="14" t="str">
        <f>IF(A87="","",INDEX(proveedores[Material],MATCH(A87,proveedores[Código],0)))</f>
        <v/>
      </c>
      <c r="D87" s="15" t="str">
        <f>IF(A87="","",INDEX(proveedores[Perfil],MATCH(A87,proveedores[Código],0)))</f>
        <v/>
      </c>
      <c r="E87" s="15" t="str">
        <f>IF(A87="","",IFERROR(INDEX(proveedores[Nivel de criticidad],MATCH(A87,proveedores[Código],0)),""))</f>
        <v/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5">
        <f t="shared" si="4"/>
        <v>100</v>
      </c>
      <c r="V87" s="12" t="str">
        <f t="shared" si="5"/>
        <v>Clase A++</v>
      </c>
    </row>
    <row r="88" spans="1:22" x14ac:dyDescent="0.2">
      <c r="A88" s="13"/>
      <c r="B88" s="14" t="str">
        <f>IF(A88="","",INDEX(proveedores[Proveedor],MATCH(A88,proveedores[Código],0)))</f>
        <v/>
      </c>
      <c r="C88" s="14" t="str">
        <f>IF(A88="","",INDEX(proveedores[Material],MATCH(A88,proveedores[Código],0)))</f>
        <v/>
      </c>
      <c r="D88" s="15" t="str">
        <f>IF(A88="","",INDEX(proveedores[Perfil],MATCH(A88,proveedores[Código],0)))</f>
        <v/>
      </c>
      <c r="E88" s="15" t="str">
        <f>IF(A88="","",IFERROR(INDEX(proveedores[Nivel de criticidad],MATCH(A88,proveedores[Código],0)),""))</f>
        <v/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5">
        <f t="shared" si="4"/>
        <v>100</v>
      </c>
      <c r="V88" s="12" t="str">
        <f t="shared" si="5"/>
        <v>Clase A++</v>
      </c>
    </row>
    <row r="89" spans="1:22" x14ac:dyDescent="0.2">
      <c r="A89" s="13"/>
      <c r="B89" s="14" t="str">
        <f>IF(A89="","",INDEX(proveedores[Proveedor],MATCH(A89,proveedores[Código],0)))</f>
        <v/>
      </c>
      <c r="C89" s="14" t="str">
        <f>IF(A89="","",INDEX(proveedores[Material],MATCH(A89,proveedores[Código],0)))</f>
        <v/>
      </c>
      <c r="D89" s="15" t="str">
        <f>IF(A89="","",INDEX(proveedores[Perfil],MATCH(A89,proveedores[Código],0)))</f>
        <v/>
      </c>
      <c r="E89" s="15" t="str">
        <f>IF(A89="","",IFERROR(INDEX(proveedores[Nivel de criticidad],MATCH(A89,proveedores[Código],0)),""))</f>
        <v/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5">
        <f t="shared" si="4"/>
        <v>100</v>
      </c>
      <c r="V89" s="12" t="str">
        <f t="shared" si="5"/>
        <v>Clase A++</v>
      </c>
    </row>
    <row r="90" spans="1:22" x14ac:dyDescent="0.2">
      <c r="A90" s="13"/>
      <c r="B90" s="14" t="str">
        <f>IF(A90="","",INDEX(proveedores[Proveedor],MATCH(A90,proveedores[Código],0)))</f>
        <v/>
      </c>
      <c r="C90" s="14" t="str">
        <f>IF(A90="","",INDEX(proveedores[Material],MATCH(A90,proveedores[Código],0)))</f>
        <v/>
      </c>
      <c r="D90" s="15" t="str">
        <f>IF(A90="","",INDEX(proveedores[Perfil],MATCH(A90,proveedores[Código],0)))</f>
        <v/>
      </c>
      <c r="E90" s="15" t="str">
        <f>IF(A90="","",IFERROR(INDEX(proveedores[Nivel de criticidad],MATCH(A90,proveedores[Código],0)),""))</f>
        <v/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5">
        <f t="shared" si="4"/>
        <v>100</v>
      </c>
      <c r="V90" s="12" t="str">
        <f t="shared" si="5"/>
        <v>Clase A++</v>
      </c>
    </row>
    <row r="91" spans="1:22" x14ac:dyDescent="0.2">
      <c r="A91" s="13"/>
      <c r="B91" s="14" t="str">
        <f>IF(A91="","",INDEX(proveedores[Proveedor],MATCH(A91,proveedores[Código],0)))</f>
        <v/>
      </c>
      <c r="C91" s="14" t="str">
        <f>IF(A91="","",INDEX(proveedores[Material],MATCH(A91,proveedores[Código],0)))</f>
        <v/>
      </c>
      <c r="D91" s="15" t="str">
        <f>IF(A91="","",INDEX(proveedores[Perfil],MATCH(A91,proveedores[Código],0)))</f>
        <v/>
      </c>
      <c r="E91" s="15" t="str">
        <f>IF(A91="","",IFERROR(INDEX(proveedores[Nivel de criticidad],MATCH(A91,proveedores[Código],0)),""))</f>
        <v/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5">
        <f t="shared" si="4"/>
        <v>100</v>
      </c>
      <c r="V91" s="12" t="str">
        <f t="shared" si="5"/>
        <v>Clase A++</v>
      </c>
    </row>
    <row r="92" spans="1:22" x14ac:dyDescent="0.2">
      <c r="A92" s="13"/>
      <c r="B92" s="14" t="str">
        <f>IF(A92="","",INDEX(proveedores[Proveedor],MATCH(A92,proveedores[Código],0)))</f>
        <v/>
      </c>
      <c r="C92" s="14" t="str">
        <f>IF(A92="","",INDEX(proveedores[Material],MATCH(A92,proveedores[Código],0)))</f>
        <v/>
      </c>
      <c r="D92" s="15" t="str">
        <f>IF(A92="","",INDEX(proveedores[Perfil],MATCH(A92,proveedores[Código],0)))</f>
        <v/>
      </c>
      <c r="E92" s="15" t="str">
        <f>IF(A92="","",IFERROR(INDEX(proveedores[Nivel de criticidad],MATCH(A92,proveedores[Código],0)),""))</f>
        <v/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5">
        <f t="shared" si="4"/>
        <v>100</v>
      </c>
      <c r="V92" s="12" t="str">
        <f t="shared" si="5"/>
        <v>Clase A++</v>
      </c>
    </row>
    <row r="93" spans="1:22" x14ac:dyDescent="0.2">
      <c r="A93" s="13"/>
      <c r="B93" s="14" t="str">
        <f>IF(A93="","",INDEX(proveedores[Proveedor],MATCH(A93,proveedores[Código],0)))</f>
        <v/>
      </c>
      <c r="C93" s="14" t="str">
        <f>IF(A93="","",INDEX(proveedores[Material],MATCH(A93,proveedores[Código],0)))</f>
        <v/>
      </c>
      <c r="D93" s="15" t="str">
        <f>IF(A93="","",INDEX(proveedores[Perfil],MATCH(A93,proveedores[Código],0)))</f>
        <v/>
      </c>
      <c r="E93" s="15" t="str">
        <f>IF(A93="","",IFERROR(INDEX(proveedores[Nivel de criticidad],MATCH(A93,proveedores[Código],0)),""))</f>
        <v/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5">
        <f t="shared" si="4"/>
        <v>100</v>
      </c>
      <c r="V93" s="12" t="str">
        <f t="shared" si="5"/>
        <v>Clase A++</v>
      </c>
    </row>
    <row r="94" spans="1:22" x14ac:dyDescent="0.2">
      <c r="A94" s="13"/>
      <c r="B94" s="14" t="str">
        <f>IF(A94="","",INDEX(proveedores[Proveedor],MATCH(A94,proveedores[Código],0)))</f>
        <v/>
      </c>
      <c r="C94" s="14" t="str">
        <f>IF(A94="","",INDEX(proveedores[Material],MATCH(A94,proveedores[Código],0)))</f>
        <v/>
      </c>
      <c r="D94" s="15" t="str">
        <f>IF(A94="","",INDEX(proveedores[Perfil],MATCH(A94,proveedores[Código],0)))</f>
        <v/>
      </c>
      <c r="E94" s="15" t="str">
        <f>IF(A94="","",IFERROR(INDEX(proveedores[Nivel de criticidad],MATCH(A94,proveedores[Código],0)),""))</f>
        <v/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5">
        <f t="shared" si="4"/>
        <v>100</v>
      </c>
      <c r="V94" s="12" t="str">
        <f t="shared" si="5"/>
        <v>Clase A++</v>
      </c>
    </row>
    <row r="95" spans="1:22" x14ac:dyDescent="0.2">
      <c r="A95" s="13"/>
      <c r="B95" s="14" t="str">
        <f>IF(A95="","",INDEX(proveedores[Proveedor],MATCH(A95,proveedores[Código],0)))</f>
        <v/>
      </c>
      <c r="C95" s="14" t="str">
        <f>IF(A95="","",INDEX(proveedores[Material],MATCH(A95,proveedores[Código],0)))</f>
        <v/>
      </c>
      <c r="D95" s="15" t="str">
        <f>IF(A95="","",INDEX(proveedores[Perfil],MATCH(A95,proveedores[Código],0)))</f>
        <v/>
      </c>
      <c r="E95" s="15" t="str">
        <f>IF(A95="","",IFERROR(INDEX(proveedores[Nivel de criticidad],MATCH(A95,proveedores[Código],0)),""))</f>
        <v/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5">
        <f t="shared" si="4"/>
        <v>100</v>
      </c>
      <c r="V95" s="12" t="str">
        <f t="shared" si="5"/>
        <v>Clase A++</v>
      </c>
    </row>
    <row r="96" spans="1:22" x14ac:dyDescent="0.2">
      <c r="A96" s="13"/>
      <c r="B96" s="14" t="str">
        <f>IF(A96="","",INDEX(proveedores[Proveedor],MATCH(A96,proveedores[Código],0)))</f>
        <v/>
      </c>
      <c r="C96" s="14" t="str">
        <f>IF(A96="","",INDEX(proveedores[Material],MATCH(A96,proveedores[Código],0)))</f>
        <v/>
      </c>
      <c r="D96" s="15" t="str">
        <f>IF(A96="","",INDEX(proveedores[Perfil],MATCH(A96,proveedores[Código],0)))</f>
        <v/>
      </c>
      <c r="E96" s="15" t="str">
        <f>IF(A96="","",IFERROR(INDEX(proveedores[Nivel de criticidad],MATCH(A96,proveedores[Código],0)),""))</f>
        <v/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5">
        <f t="shared" si="4"/>
        <v>100</v>
      </c>
      <c r="V96" s="12" t="str">
        <f t="shared" si="5"/>
        <v>Clase A++</v>
      </c>
    </row>
    <row r="97" spans="1:22" x14ac:dyDescent="0.2">
      <c r="A97" s="13"/>
      <c r="B97" s="14" t="str">
        <f>IF(A97="","",INDEX(proveedores[Proveedor],MATCH(A97,proveedores[Código],0)))</f>
        <v/>
      </c>
      <c r="C97" s="14" t="str">
        <f>IF(A97="","",INDEX(proveedores[Material],MATCH(A97,proveedores[Código],0)))</f>
        <v/>
      </c>
      <c r="D97" s="15" t="str">
        <f>IF(A97="","",INDEX(proveedores[Perfil],MATCH(A97,proveedores[Código],0)))</f>
        <v/>
      </c>
      <c r="E97" s="15" t="str">
        <f>IF(A97="","",IFERROR(INDEX(proveedores[Nivel de criticidad],MATCH(A97,proveedores[Código],0)),""))</f>
        <v/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5">
        <f t="shared" si="4"/>
        <v>100</v>
      </c>
      <c r="V97" s="12" t="str">
        <f t="shared" si="5"/>
        <v>Clase A++</v>
      </c>
    </row>
    <row r="98" spans="1:22" x14ac:dyDescent="0.2">
      <c r="A98" s="13"/>
      <c r="B98" s="14" t="str">
        <f>IF(A98="","",INDEX(proveedores[Proveedor],MATCH(A98,proveedores[Código],0)))</f>
        <v/>
      </c>
      <c r="C98" s="14" t="str">
        <f>IF(A98="","",INDEX(proveedores[Material],MATCH(A98,proveedores[Código],0)))</f>
        <v/>
      </c>
      <c r="D98" s="15" t="str">
        <f>IF(A98="","",INDEX(proveedores[Perfil],MATCH(A98,proveedores[Código],0)))</f>
        <v/>
      </c>
      <c r="E98" s="15" t="str">
        <f>IF(A98="","",IFERROR(INDEX(proveedores[Nivel de criticidad],MATCH(A98,proveedores[Código],0)),""))</f>
        <v/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5">
        <f t="shared" si="4"/>
        <v>100</v>
      </c>
      <c r="V98" s="12" t="str">
        <f t="shared" si="5"/>
        <v>Clase A++</v>
      </c>
    </row>
    <row r="99" spans="1:22" x14ac:dyDescent="0.2">
      <c r="A99" s="13"/>
      <c r="B99" s="14" t="str">
        <f>IF(A99="","",INDEX(proveedores[Proveedor],MATCH(A99,proveedores[Código],0)))</f>
        <v/>
      </c>
      <c r="C99" s="14" t="str">
        <f>IF(A99="","",INDEX(proveedores[Material],MATCH(A99,proveedores[Código],0)))</f>
        <v/>
      </c>
      <c r="D99" s="15" t="str">
        <f>IF(A99="","",INDEX(proveedores[Perfil],MATCH(A99,proveedores[Código],0)))</f>
        <v/>
      </c>
      <c r="E99" s="15" t="str">
        <f>IF(A99="","",IFERROR(INDEX(proveedores[Nivel de criticidad],MATCH(A99,proveedores[Código],0)),""))</f>
        <v/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5">
        <f t="shared" si="4"/>
        <v>100</v>
      </c>
      <c r="V99" s="12" t="str">
        <f t="shared" si="5"/>
        <v>Clase A++</v>
      </c>
    </row>
    <row r="100" spans="1:22" x14ac:dyDescent="0.2">
      <c r="A100" s="13"/>
      <c r="B100" s="14" t="str">
        <f>IF(A100="","",INDEX(proveedores[Proveedor],MATCH(A100,proveedores[Código],0)))</f>
        <v/>
      </c>
      <c r="C100" s="14" t="str">
        <f>IF(A100="","",INDEX(proveedores[Material],MATCH(A100,proveedores[Código],0)))</f>
        <v/>
      </c>
      <c r="D100" s="15" t="str">
        <f>IF(A100="","",INDEX(proveedores[Perfil],MATCH(A100,proveedores[Código],0)))</f>
        <v/>
      </c>
      <c r="E100" s="15" t="str">
        <f>IF(A100="","",IFERROR(INDEX(proveedores[Nivel de criticidad],MATCH(A100,proveedores[Código],0)),""))</f>
        <v/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5">
        <f t="shared" si="4"/>
        <v>100</v>
      </c>
      <c r="V100" s="12" t="str">
        <f t="shared" si="5"/>
        <v>Clase A++</v>
      </c>
    </row>
    <row r="101" spans="1:22" x14ac:dyDescent="0.2">
      <c r="A101" s="13"/>
      <c r="B101" s="14" t="str">
        <f>IF(A101="","",INDEX(proveedores[Proveedor],MATCH(A101,proveedores[Código],0)))</f>
        <v/>
      </c>
      <c r="C101" s="14" t="str">
        <f>IF(A101="","",INDEX(proveedores[Material],MATCH(A101,proveedores[Código],0)))</f>
        <v/>
      </c>
      <c r="D101" s="15" t="str">
        <f>IF(A101="","",INDEX(proveedores[Perfil],MATCH(A101,proveedores[Código],0)))</f>
        <v/>
      </c>
      <c r="E101" s="15" t="str">
        <f>IF(A101="","",IFERROR(INDEX(proveedores[Nivel de criticidad],MATCH(A101,proveedores[Código],0)),""))</f>
        <v/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5">
        <f t="shared" si="4"/>
        <v>100</v>
      </c>
      <c r="V101" s="12" t="str">
        <f t="shared" si="5"/>
        <v>Clase A++</v>
      </c>
    </row>
    <row r="102" spans="1:22" x14ac:dyDescent="0.2">
      <c r="A102" s="13"/>
      <c r="B102" s="14" t="str">
        <f>IF(A102="","",INDEX(proveedores[Proveedor],MATCH(A102,proveedores[Código],0)))</f>
        <v/>
      </c>
      <c r="C102" s="14" t="str">
        <f>IF(A102="","",INDEX(proveedores[Material],MATCH(A102,proveedores[Código],0)))</f>
        <v/>
      </c>
      <c r="D102" s="15" t="str">
        <f>IF(A102="","",INDEX(proveedores[Perfil],MATCH(A102,proveedores[Código],0)))</f>
        <v/>
      </c>
      <c r="E102" s="15" t="str">
        <f>IF(A102="","",IFERROR(INDEX(proveedores[Nivel de criticidad],MATCH(A102,proveedores[Código],0)),""))</f>
        <v/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5">
        <f t="shared" ref="U102:U133" si="6">IF(D102="Internacional", MIN(IF(((F102*10)+(G102*3)+(H102*4)+(I102*5)+(J102*8)+(O102*5)+(P102*2)+IF(L102="N/A",0,(L102*10)+(M102*5)+(N102*3)))&gt;0,98,100), ((MAX(0, 30 - (F102*10) - (G102*3))/30)*45) + ((MAX(0, 25 - (H102*4) - (I102*5) - (J102*8) - (K102*5))/25)*35) + ((MAX(0, 15 - (O102*5) - (P102*2))/15)*20) + (IF(Q102="N/A",0,Q102)*2.5) + (IF(R102="N/A",0,R102)*2.5) + (IF(S102="N/A",0,S102)*2.5) + (IF(T102="N/A",0,T102)*2.5)), IF(D102="Local Insumos", MIN(IF(((F102*10)+(G102*3)+(H102*4)+(I102*5)+(J102*8)+(O102*5)+(P102*2)+IF(L102="N/A",0,(L102*10)+(M102*5)+(N102*3)))&gt;0,98,100), ((MAX(0, 30 - (F102*10) - (G102*3))/30)*35) + ((MAX(0, 25 - (H102*4) - (I102*5) - (J102*8) - (K102*5))/25)*30) + MAX(0, 20 - (L102*10) - (M102*5) - (N102*3)) + MAX(0, 15 - (O102*5) - (P102*2)) + (IF(Q102="N/A",0,Q102)*2.5) + (IF(R102="N/A",0,R102)*2.5) + (IF(S102="N/A",0,S102)*2.5) + (IF(T102="N/A",0,T102)*2.5)), MIN(IF(((F102*10)+(G102*3)+(H102*4)+(I102*5)+(J102*8)+(O102*5)+(P102*2)+IF(L102="N/A",0,(L102*10)+(M102*5)+(N102*3)))&gt;0,98,100), ((MAX(0, 25 - (H102*4) - (I102*5) - (J102*8) - (K102*5))/25)*55) + ((MAX(0, 20 - (L102*10) - (M102*5) - (N102*3))/20)*30) + ((MAX(0, 15 - (O102*5) - (P102*2))/15)*15))))</f>
        <v>100</v>
      </c>
      <c r="V102" s="12" t="str">
        <f t="shared" ref="V102:V133" si="7">IF(U102&gt;=96, "Clase A++", IF(U102&gt;=85, "Clase A", IF(U102&gt;=70, "Clase B", "Clase C")))</f>
        <v>Clase A++</v>
      </c>
    </row>
    <row r="103" spans="1:22" x14ac:dyDescent="0.2">
      <c r="A103" s="13"/>
      <c r="B103" s="14" t="str">
        <f>IF(A103="","",INDEX(proveedores[Proveedor],MATCH(A103,proveedores[Código],0)))</f>
        <v/>
      </c>
      <c r="C103" s="14" t="str">
        <f>IF(A103="","",INDEX(proveedores[Material],MATCH(A103,proveedores[Código],0)))</f>
        <v/>
      </c>
      <c r="D103" s="15" t="str">
        <f>IF(A103="","",INDEX(proveedores[Perfil],MATCH(A103,proveedores[Código],0)))</f>
        <v/>
      </c>
      <c r="E103" s="15" t="str">
        <f>IF(A103="","",IFERROR(INDEX(proveedores[Nivel de criticidad],MATCH(A103,proveedores[Código],0)),""))</f>
        <v/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5">
        <f t="shared" si="6"/>
        <v>100</v>
      </c>
      <c r="V103" s="12" t="str">
        <f t="shared" si="7"/>
        <v>Clase A++</v>
      </c>
    </row>
    <row r="104" spans="1:22" x14ac:dyDescent="0.2">
      <c r="A104" s="13"/>
      <c r="B104" s="14" t="str">
        <f>IF(A104="","",INDEX(proveedores[Proveedor],MATCH(A104,proveedores[Código],0)))</f>
        <v/>
      </c>
      <c r="C104" s="14" t="str">
        <f>IF(A104="","",INDEX(proveedores[Material],MATCH(A104,proveedores[Código],0)))</f>
        <v/>
      </c>
      <c r="D104" s="15" t="str">
        <f>IF(A104="","",INDEX(proveedores[Perfil],MATCH(A104,proveedores[Código],0)))</f>
        <v/>
      </c>
      <c r="E104" s="15" t="str">
        <f>IF(A104="","",IFERROR(INDEX(proveedores[Nivel de criticidad],MATCH(A104,proveedores[Código],0)),""))</f>
        <v/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5">
        <f t="shared" si="6"/>
        <v>100</v>
      </c>
      <c r="V104" s="12" t="str">
        <f t="shared" si="7"/>
        <v>Clase A++</v>
      </c>
    </row>
    <row r="105" spans="1:22" x14ac:dyDescent="0.2">
      <c r="A105" s="13"/>
      <c r="B105" s="14" t="str">
        <f>IF(A105="","",INDEX(proveedores[Proveedor],MATCH(A105,proveedores[Código],0)))</f>
        <v/>
      </c>
      <c r="C105" s="14" t="str">
        <f>IF(A105="","",INDEX(proveedores[Material],MATCH(A105,proveedores[Código],0)))</f>
        <v/>
      </c>
      <c r="D105" s="15" t="str">
        <f>IF(A105="","",INDEX(proveedores[Perfil],MATCH(A105,proveedores[Código],0)))</f>
        <v/>
      </c>
      <c r="E105" s="15" t="str">
        <f>IF(A105="","",IFERROR(INDEX(proveedores[Nivel de criticidad],MATCH(A105,proveedores[Código],0)),""))</f>
        <v/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5">
        <f t="shared" si="6"/>
        <v>100</v>
      </c>
      <c r="V105" s="12" t="str">
        <f t="shared" si="7"/>
        <v>Clase A++</v>
      </c>
    </row>
    <row r="106" spans="1:22" x14ac:dyDescent="0.2">
      <c r="A106" s="13"/>
      <c r="B106" s="14" t="str">
        <f>IF(A106="","",INDEX(proveedores[Proveedor],MATCH(A106,proveedores[Código],0)))</f>
        <v/>
      </c>
      <c r="C106" s="14" t="str">
        <f>IF(A106="","",INDEX(proveedores[Material],MATCH(A106,proveedores[Código],0)))</f>
        <v/>
      </c>
      <c r="D106" s="15" t="str">
        <f>IF(A106="","",INDEX(proveedores[Perfil],MATCH(A106,proveedores[Código],0)))</f>
        <v/>
      </c>
      <c r="E106" s="15" t="str">
        <f>IF(A106="","",IFERROR(INDEX(proveedores[Nivel de criticidad],MATCH(A106,proveedores[Código],0)),""))</f>
        <v/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5">
        <f t="shared" si="6"/>
        <v>100</v>
      </c>
      <c r="V106" s="12" t="str">
        <f t="shared" si="7"/>
        <v>Clase A++</v>
      </c>
    </row>
    <row r="107" spans="1:22" x14ac:dyDescent="0.2">
      <c r="A107" s="13"/>
      <c r="B107" s="14" t="str">
        <f>IF(A107="","",INDEX(proveedores[Proveedor],MATCH(A107,proveedores[Código],0)))</f>
        <v/>
      </c>
      <c r="C107" s="14" t="str">
        <f>IF(A107="","",INDEX(proveedores[Material],MATCH(A107,proveedores[Código],0)))</f>
        <v/>
      </c>
      <c r="D107" s="15" t="str">
        <f>IF(A107="","",INDEX(proveedores[Perfil],MATCH(A107,proveedores[Código],0)))</f>
        <v/>
      </c>
      <c r="E107" s="15" t="str">
        <f>IF(A107="","",IFERROR(INDEX(proveedores[Nivel de criticidad],MATCH(A107,proveedores[Código],0)),""))</f>
        <v/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5">
        <f t="shared" si="6"/>
        <v>100</v>
      </c>
      <c r="V107" s="12" t="str">
        <f t="shared" si="7"/>
        <v>Clase A++</v>
      </c>
    </row>
    <row r="108" spans="1:22" x14ac:dyDescent="0.2">
      <c r="A108" s="13"/>
      <c r="B108" s="14" t="str">
        <f>IF(A108="","",INDEX(proveedores[Proveedor],MATCH(A108,proveedores[Código],0)))</f>
        <v/>
      </c>
      <c r="C108" s="14" t="str">
        <f>IF(A108="","",INDEX(proveedores[Material],MATCH(A108,proveedores[Código],0)))</f>
        <v/>
      </c>
      <c r="D108" s="15" t="str">
        <f>IF(A108="","",INDEX(proveedores[Perfil],MATCH(A108,proveedores[Código],0)))</f>
        <v/>
      </c>
      <c r="E108" s="15" t="str">
        <f>IF(A108="","",IFERROR(INDEX(proveedores[Nivel de criticidad],MATCH(A108,proveedores[Código],0)),""))</f>
        <v/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5">
        <f t="shared" si="6"/>
        <v>100</v>
      </c>
      <c r="V108" s="12" t="str">
        <f t="shared" si="7"/>
        <v>Clase A++</v>
      </c>
    </row>
    <row r="109" spans="1:22" x14ac:dyDescent="0.2">
      <c r="A109" s="13"/>
      <c r="B109" s="14" t="str">
        <f>IF(A109="","",INDEX(proveedores[Proveedor],MATCH(A109,proveedores[Código],0)))</f>
        <v/>
      </c>
      <c r="C109" s="14" t="str">
        <f>IF(A109="","",INDEX(proveedores[Material],MATCH(A109,proveedores[Código],0)))</f>
        <v/>
      </c>
      <c r="D109" s="15" t="str">
        <f>IF(A109="","",INDEX(proveedores[Perfil],MATCH(A109,proveedores[Código],0)))</f>
        <v/>
      </c>
      <c r="E109" s="15" t="str">
        <f>IF(A109="","",IFERROR(INDEX(proveedores[Nivel de criticidad],MATCH(A109,proveedores[Código],0)),""))</f>
        <v/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5">
        <f t="shared" si="6"/>
        <v>100</v>
      </c>
      <c r="V109" s="12" t="str">
        <f t="shared" si="7"/>
        <v>Clase A++</v>
      </c>
    </row>
    <row r="110" spans="1:22" x14ac:dyDescent="0.2">
      <c r="A110" s="13"/>
      <c r="B110" s="14" t="str">
        <f>IF(A110="","",INDEX(proveedores[Proveedor],MATCH(A110,proveedores[Código],0)))</f>
        <v/>
      </c>
      <c r="C110" s="14" t="str">
        <f>IF(A110="","",INDEX(proveedores[Material],MATCH(A110,proveedores[Código],0)))</f>
        <v/>
      </c>
      <c r="D110" s="15" t="str">
        <f>IF(A110="","",INDEX(proveedores[Perfil],MATCH(A110,proveedores[Código],0)))</f>
        <v/>
      </c>
      <c r="E110" s="15" t="str">
        <f>IF(A110="","",IFERROR(INDEX(proveedores[Nivel de criticidad],MATCH(A110,proveedores[Código],0)),""))</f>
        <v/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5">
        <f t="shared" si="6"/>
        <v>100</v>
      </c>
      <c r="V110" s="12" t="str">
        <f t="shared" si="7"/>
        <v>Clase A++</v>
      </c>
    </row>
    <row r="111" spans="1:22" x14ac:dyDescent="0.2">
      <c r="A111" s="13"/>
      <c r="B111" s="14" t="str">
        <f>IF(A111="","",INDEX(proveedores[Proveedor],MATCH(A111,proveedores[Código],0)))</f>
        <v/>
      </c>
      <c r="C111" s="14" t="str">
        <f>IF(A111="","",INDEX(proveedores[Material],MATCH(A111,proveedores[Código],0)))</f>
        <v/>
      </c>
      <c r="D111" s="15" t="str">
        <f>IF(A111="","",INDEX(proveedores[Perfil],MATCH(A111,proveedores[Código],0)))</f>
        <v/>
      </c>
      <c r="E111" s="15" t="str">
        <f>IF(A111="","",IFERROR(INDEX(proveedores[Nivel de criticidad],MATCH(A111,proveedores[Código],0)),""))</f>
        <v/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5">
        <f t="shared" si="6"/>
        <v>100</v>
      </c>
      <c r="V111" s="12" t="str">
        <f t="shared" si="7"/>
        <v>Clase A++</v>
      </c>
    </row>
    <row r="112" spans="1:22" x14ac:dyDescent="0.2">
      <c r="A112" s="13"/>
      <c r="B112" s="14" t="str">
        <f>IF(A112="","",INDEX(proveedores[Proveedor],MATCH(A112,proveedores[Código],0)))</f>
        <v/>
      </c>
      <c r="C112" s="14" t="str">
        <f>IF(A112="","",INDEX(proveedores[Material],MATCH(A112,proveedores[Código],0)))</f>
        <v/>
      </c>
      <c r="D112" s="15" t="str">
        <f>IF(A112="","",INDEX(proveedores[Perfil],MATCH(A112,proveedores[Código],0)))</f>
        <v/>
      </c>
      <c r="E112" s="15" t="str">
        <f>IF(A112="","",IFERROR(INDEX(proveedores[Nivel de criticidad],MATCH(A112,proveedores[Código],0)),""))</f>
        <v/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5">
        <f t="shared" si="6"/>
        <v>100</v>
      </c>
      <c r="V112" s="12" t="str">
        <f t="shared" si="7"/>
        <v>Clase A++</v>
      </c>
    </row>
    <row r="113" spans="1:22" x14ac:dyDescent="0.2">
      <c r="A113" s="13"/>
      <c r="B113" s="14" t="str">
        <f>IF(A113="","",INDEX(proveedores[Proveedor],MATCH(A113,proveedores[Código],0)))</f>
        <v/>
      </c>
      <c r="C113" s="14" t="str">
        <f>IF(A113="","",INDEX(proveedores[Material],MATCH(A113,proveedores[Código],0)))</f>
        <v/>
      </c>
      <c r="D113" s="15" t="str">
        <f>IF(A113="","",INDEX(proveedores[Perfil],MATCH(A113,proveedores[Código],0)))</f>
        <v/>
      </c>
      <c r="E113" s="15" t="str">
        <f>IF(A113="","",IFERROR(INDEX(proveedores[Nivel de criticidad],MATCH(A113,proveedores[Código],0)),""))</f>
        <v/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5">
        <f t="shared" si="6"/>
        <v>100</v>
      </c>
      <c r="V113" s="12" t="str">
        <f t="shared" si="7"/>
        <v>Clase A++</v>
      </c>
    </row>
    <row r="114" spans="1:22" x14ac:dyDescent="0.2">
      <c r="A114" s="13"/>
      <c r="B114" s="14" t="str">
        <f>IF(A114="","",INDEX(proveedores[Proveedor],MATCH(A114,proveedores[Código],0)))</f>
        <v/>
      </c>
      <c r="C114" s="14" t="str">
        <f>IF(A114="","",INDEX(proveedores[Material],MATCH(A114,proveedores[Código],0)))</f>
        <v/>
      </c>
      <c r="D114" s="15" t="str">
        <f>IF(A114="","",INDEX(proveedores[Perfil],MATCH(A114,proveedores[Código],0)))</f>
        <v/>
      </c>
      <c r="E114" s="15" t="str">
        <f>IF(A114="","",IFERROR(INDEX(proveedores[Nivel de criticidad],MATCH(A114,proveedores[Código],0)),""))</f>
        <v/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5">
        <f t="shared" si="6"/>
        <v>100</v>
      </c>
      <c r="V114" s="12" t="str">
        <f t="shared" si="7"/>
        <v>Clase A++</v>
      </c>
    </row>
    <row r="115" spans="1:22" x14ac:dyDescent="0.2">
      <c r="A115" s="13"/>
      <c r="B115" s="14" t="str">
        <f>IF(A115="","",INDEX(proveedores[Proveedor],MATCH(A115,proveedores[Código],0)))</f>
        <v/>
      </c>
      <c r="C115" s="14" t="str">
        <f>IF(A115="","",INDEX(proveedores[Material],MATCH(A115,proveedores[Código],0)))</f>
        <v/>
      </c>
      <c r="D115" s="15" t="str">
        <f>IF(A115="","",INDEX(proveedores[Perfil],MATCH(A115,proveedores[Código],0)))</f>
        <v/>
      </c>
      <c r="E115" s="15" t="str">
        <f>IF(A115="","",IFERROR(INDEX(proveedores[Nivel de criticidad],MATCH(A115,proveedores[Código],0)),""))</f>
        <v/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5">
        <f t="shared" si="6"/>
        <v>100</v>
      </c>
      <c r="V115" s="12" t="str">
        <f t="shared" si="7"/>
        <v>Clase A++</v>
      </c>
    </row>
    <row r="116" spans="1:22" x14ac:dyDescent="0.2">
      <c r="A116" s="13"/>
      <c r="B116" s="14" t="str">
        <f>IF(A116="","",INDEX(proveedores[Proveedor],MATCH(A116,proveedores[Código],0)))</f>
        <v/>
      </c>
      <c r="C116" s="14" t="str">
        <f>IF(A116="","",INDEX(proveedores[Material],MATCH(A116,proveedores[Código],0)))</f>
        <v/>
      </c>
      <c r="D116" s="15" t="str">
        <f>IF(A116="","",INDEX(proveedores[Perfil],MATCH(A116,proveedores[Código],0)))</f>
        <v/>
      </c>
      <c r="E116" s="15" t="str">
        <f>IF(A116="","",IFERROR(INDEX(proveedores[Nivel de criticidad],MATCH(A116,proveedores[Código],0)),""))</f>
        <v/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5">
        <f t="shared" si="6"/>
        <v>100</v>
      </c>
      <c r="V116" s="12" t="str">
        <f t="shared" si="7"/>
        <v>Clase A++</v>
      </c>
    </row>
    <row r="117" spans="1:22" x14ac:dyDescent="0.2">
      <c r="A117" s="13"/>
      <c r="B117" s="14" t="str">
        <f>IF(A117="","",INDEX(proveedores[Proveedor],MATCH(A117,proveedores[Código],0)))</f>
        <v/>
      </c>
      <c r="C117" s="14" t="str">
        <f>IF(A117="","",INDEX(proveedores[Material],MATCH(A117,proveedores[Código],0)))</f>
        <v/>
      </c>
      <c r="D117" s="15" t="str">
        <f>IF(A117="","",INDEX(proveedores[Perfil],MATCH(A117,proveedores[Código],0)))</f>
        <v/>
      </c>
      <c r="E117" s="15" t="str">
        <f>IF(A117="","",IFERROR(INDEX(proveedores[Nivel de criticidad],MATCH(A117,proveedores[Código],0)),""))</f>
        <v/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5">
        <f t="shared" si="6"/>
        <v>100</v>
      </c>
      <c r="V117" s="12" t="str">
        <f t="shared" si="7"/>
        <v>Clase A++</v>
      </c>
    </row>
    <row r="118" spans="1:22" x14ac:dyDescent="0.2">
      <c r="A118" s="13"/>
      <c r="B118" s="14" t="str">
        <f>IF(A118="","",INDEX(proveedores[Proveedor],MATCH(A118,proveedores[Código],0)))</f>
        <v/>
      </c>
      <c r="C118" s="14" t="str">
        <f>IF(A118="","",INDEX(proveedores[Material],MATCH(A118,proveedores[Código],0)))</f>
        <v/>
      </c>
      <c r="D118" s="15" t="str">
        <f>IF(A118="","",INDEX(proveedores[Perfil],MATCH(A118,proveedores[Código],0)))</f>
        <v/>
      </c>
      <c r="E118" s="15" t="str">
        <f>IF(A118="","",IFERROR(INDEX(proveedores[Nivel de criticidad],MATCH(A118,proveedores[Código],0)),""))</f>
        <v/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5">
        <f t="shared" si="6"/>
        <v>100</v>
      </c>
      <c r="V118" s="12" t="str">
        <f t="shared" si="7"/>
        <v>Clase A++</v>
      </c>
    </row>
    <row r="119" spans="1:22" x14ac:dyDescent="0.2">
      <c r="A119" s="13"/>
      <c r="B119" s="14" t="str">
        <f>IF(A119="","",INDEX(proveedores[Proveedor],MATCH(A119,proveedores[Código],0)))</f>
        <v/>
      </c>
      <c r="C119" s="14" t="str">
        <f>IF(A119="","",INDEX(proveedores[Material],MATCH(A119,proveedores[Código],0)))</f>
        <v/>
      </c>
      <c r="D119" s="15" t="str">
        <f>IF(A119="","",INDEX(proveedores[Perfil],MATCH(A119,proveedores[Código],0)))</f>
        <v/>
      </c>
      <c r="E119" s="15" t="str">
        <f>IF(A119="","",IFERROR(INDEX(proveedores[Nivel de criticidad],MATCH(A119,proveedores[Código],0)),""))</f>
        <v/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5">
        <f t="shared" si="6"/>
        <v>100</v>
      </c>
      <c r="V119" s="12" t="str">
        <f t="shared" si="7"/>
        <v>Clase A++</v>
      </c>
    </row>
    <row r="120" spans="1:22" x14ac:dyDescent="0.2">
      <c r="A120" s="13"/>
      <c r="B120" s="14" t="str">
        <f>IF(A120="","",INDEX(proveedores[Proveedor],MATCH(A120,proveedores[Código],0)))</f>
        <v/>
      </c>
      <c r="C120" s="14" t="str">
        <f>IF(A120="","",INDEX(proveedores[Material],MATCH(A120,proveedores[Código],0)))</f>
        <v/>
      </c>
      <c r="D120" s="15" t="str">
        <f>IF(A120="","",INDEX(proveedores[Perfil],MATCH(A120,proveedores[Código],0)))</f>
        <v/>
      </c>
      <c r="E120" s="15" t="str">
        <f>IF(A120="","",IFERROR(INDEX(proveedores[Nivel de criticidad],MATCH(A120,proveedores[Código],0)),""))</f>
        <v/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5">
        <f t="shared" si="6"/>
        <v>100</v>
      </c>
      <c r="V120" s="12" t="str">
        <f t="shared" si="7"/>
        <v>Clase A++</v>
      </c>
    </row>
    <row r="121" spans="1:22" x14ac:dyDescent="0.2">
      <c r="A121" s="13"/>
      <c r="B121" s="14" t="str">
        <f>IF(A121="","",INDEX(proveedores[Proveedor],MATCH(A121,proveedores[Código],0)))</f>
        <v/>
      </c>
      <c r="C121" s="14" t="str">
        <f>IF(A121="","",INDEX(proveedores[Material],MATCH(A121,proveedores[Código],0)))</f>
        <v/>
      </c>
      <c r="D121" s="15" t="str">
        <f>IF(A121="","",INDEX(proveedores[Perfil],MATCH(A121,proveedores[Código],0)))</f>
        <v/>
      </c>
      <c r="E121" s="15" t="str">
        <f>IF(A121="","",IFERROR(INDEX(proveedores[Nivel de criticidad],MATCH(A121,proveedores[Código],0)),""))</f>
        <v/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5">
        <f t="shared" si="6"/>
        <v>100</v>
      </c>
      <c r="V121" s="12" t="str">
        <f t="shared" si="7"/>
        <v>Clase A++</v>
      </c>
    </row>
    <row r="122" spans="1:22" x14ac:dyDescent="0.2">
      <c r="A122" s="13"/>
      <c r="B122" s="14" t="str">
        <f>IF(A122="","",INDEX(proveedores[Proveedor],MATCH(A122,proveedores[Código],0)))</f>
        <v/>
      </c>
      <c r="C122" s="14" t="str">
        <f>IF(A122="","",INDEX(proveedores[Material],MATCH(A122,proveedores[Código],0)))</f>
        <v/>
      </c>
      <c r="D122" s="15" t="str">
        <f>IF(A122="","",INDEX(proveedores[Perfil],MATCH(A122,proveedores[Código],0)))</f>
        <v/>
      </c>
      <c r="E122" s="15" t="str">
        <f>IF(A122="","",IFERROR(INDEX(proveedores[Nivel de criticidad],MATCH(A122,proveedores[Código],0)),""))</f>
        <v/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5">
        <f t="shared" si="6"/>
        <v>100</v>
      </c>
      <c r="V122" s="12" t="str">
        <f t="shared" si="7"/>
        <v>Clase A++</v>
      </c>
    </row>
    <row r="123" spans="1:22" x14ac:dyDescent="0.2">
      <c r="A123" s="13"/>
      <c r="B123" s="14" t="str">
        <f>IF(A123="","",INDEX(proveedores[Proveedor],MATCH(A123,proveedores[Código],0)))</f>
        <v/>
      </c>
      <c r="C123" s="14" t="str">
        <f>IF(A123="","",INDEX(proveedores[Material],MATCH(A123,proveedores[Código],0)))</f>
        <v/>
      </c>
      <c r="D123" s="15" t="str">
        <f>IF(A123="","",INDEX(proveedores[Perfil],MATCH(A123,proveedores[Código],0)))</f>
        <v/>
      </c>
      <c r="E123" s="15" t="str">
        <f>IF(A123="","",IFERROR(INDEX(proveedores[Nivel de criticidad],MATCH(A123,proveedores[Código],0)),""))</f>
        <v/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5">
        <f t="shared" si="6"/>
        <v>100</v>
      </c>
      <c r="V123" s="12" t="str">
        <f t="shared" si="7"/>
        <v>Clase A++</v>
      </c>
    </row>
    <row r="124" spans="1:22" x14ac:dyDescent="0.2">
      <c r="A124" s="13"/>
      <c r="B124" s="14" t="str">
        <f>IF(A124="","",INDEX(proveedores[Proveedor],MATCH(A124,proveedores[Código],0)))</f>
        <v/>
      </c>
      <c r="C124" s="14" t="str">
        <f>IF(A124="","",INDEX(proveedores[Material],MATCH(A124,proveedores[Código],0)))</f>
        <v/>
      </c>
      <c r="D124" s="15" t="str">
        <f>IF(A124="","",INDEX(proveedores[Perfil],MATCH(A124,proveedores[Código],0)))</f>
        <v/>
      </c>
      <c r="E124" s="15" t="str">
        <f>IF(A124="","",IFERROR(INDEX(proveedores[Nivel de criticidad],MATCH(A124,proveedores[Código],0)),""))</f>
        <v/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5">
        <f t="shared" si="6"/>
        <v>100</v>
      </c>
      <c r="V124" s="12" t="str">
        <f t="shared" si="7"/>
        <v>Clase A++</v>
      </c>
    </row>
    <row r="125" spans="1:22" x14ac:dyDescent="0.2">
      <c r="A125" s="13"/>
      <c r="B125" s="14" t="str">
        <f>IF(A125="","",INDEX(proveedores[Proveedor],MATCH(A125,proveedores[Código],0)))</f>
        <v/>
      </c>
      <c r="C125" s="14" t="str">
        <f>IF(A125="","",INDEX(proveedores[Material],MATCH(A125,proveedores[Código],0)))</f>
        <v/>
      </c>
      <c r="D125" s="15" t="str">
        <f>IF(A125="","",INDEX(proveedores[Perfil],MATCH(A125,proveedores[Código],0)))</f>
        <v/>
      </c>
      <c r="E125" s="15" t="str">
        <f>IF(A125="","",IFERROR(INDEX(proveedores[Nivel de criticidad],MATCH(A125,proveedores[Código],0)),""))</f>
        <v/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5">
        <f t="shared" si="6"/>
        <v>100</v>
      </c>
      <c r="V125" s="12" t="str">
        <f t="shared" si="7"/>
        <v>Clase A++</v>
      </c>
    </row>
    <row r="126" spans="1:22" x14ac:dyDescent="0.2">
      <c r="A126" s="13"/>
      <c r="B126" s="14" t="str">
        <f>IF(A126="","",INDEX(proveedores[Proveedor],MATCH(A126,proveedores[Código],0)))</f>
        <v/>
      </c>
      <c r="C126" s="14" t="str">
        <f>IF(A126="","",INDEX(proveedores[Material],MATCH(A126,proveedores[Código],0)))</f>
        <v/>
      </c>
      <c r="D126" s="15" t="str">
        <f>IF(A126="","",INDEX(proveedores[Perfil],MATCH(A126,proveedores[Código],0)))</f>
        <v/>
      </c>
      <c r="E126" s="15" t="str">
        <f>IF(A126="","",IFERROR(INDEX(proveedores[Nivel de criticidad],MATCH(A126,proveedores[Código],0)),""))</f>
        <v/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5">
        <f t="shared" si="6"/>
        <v>100</v>
      </c>
      <c r="V126" s="12" t="str">
        <f t="shared" si="7"/>
        <v>Clase A++</v>
      </c>
    </row>
    <row r="127" spans="1:22" x14ac:dyDescent="0.2">
      <c r="A127" s="13"/>
      <c r="B127" s="14" t="str">
        <f>IF(A127="","",INDEX(proveedores[Proveedor],MATCH(A127,proveedores[Código],0)))</f>
        <v/>
      </c>
      <c r="C127" s="14" t="str">
        <f>IF(A127="","",INDEX(proveedores[Material],MATCH(A127,proveedores[Código],0)))</f>
        <v/>
      </c>
      <c r="D127" s="15" t="str">
        <f>IF(A127="","",INDEX(proveedores[Perfil],MATCH(A127,proveedores[Código],0)))</f>
        <v/>
      </c>
      <c r="E127" s="15" t="str">
        <f>IF(A127="","",IFERROR(INDEX(proveedores[Nivel de criticidad],MATCH(A127,proveedores[Código],0)),""))</f>
        <v/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5">
        <f t="shared" si="6"/>
        <v>100</v>
      </c>
      <c r="V127" s="12" t="str">
        <f t="shared" si="7"/>
        <v>Clase A++</v>
      </c>
    </row>
    <row r="128" spans="1:22" x14ac:dyDescent="0.2">
      <c r="A128" s="13"/>
      <c r="B128" s="14" t="str">
        <f>IF(A128="","",INDEX(proveedores[Proveedor],MATCH(A128,proveedores[Código],0)))</f>
        <v/>
      </c>
      <c r="C128" s="14" t="str">
        <f>IF(A128="","",INDEX(proveedores[Material],MATCH(A128,proveedores[Código],0)))</f>
        <v/>
      </c>
      <c r="D128" s="15" t="str">
        <f>IF(A128="","",INDEX(proveedores[Perfil],MATCH(A128,proveedores[Código],0)))</f>
        <v/>
      </c>
      <c r="E128" s="15" t="str">
        <f>IF(A128="","",IFERROR(INDEX(proveedores[Nivel de criticidad],MATCH(A128,proveedores[Código],0)),""))</f>
        <v/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5">
        <f t="shared" si="6"/>
        <v>100</v>
      </c>
      <c r="V128" s="12" t="str">
        <f t="shared" si="7"/>
        <v>Clase A++</v>
      </c>
    </row>
    <row r="129" spans="1:22" x14ac:dyDescent="0.2">
      <c r="A129" s="13"/>
      <c r="B129" s="14" t="str">
        <f>IF(A129="","",INDEX(proveedores[Proveedor],MATCH(A129,proveedores[Código],0)))</f>
        <v/>
      </c>
      <c r="C129" s="14" t="str">
        <f>IF(A129="","",INDEX(proveedores[Material],MATCH(A129,proveedores[Código],0)))</f>
        <v/>
      </c>
      <c r="D129" s="15" t="str">
        <f>IF(A129="","",INDEX(proveedores[Perfil],MATCH(A129,proveedores[Código],0)))</f>
        <v/>
      </c>
      <c r="E129" s="15" t="str">
        <f>IF(A129="","",IFERROR(INDEX(proveedores[Nivel de criticidad],MATCH(A129,proveedores[Código],0)),""))</f>
        <v/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5">
        <f t="shared" si="6"/>
        <v>100</v>
      </c>
      <c r="V129" s="12" t="str">
        <f t="shared" si="7"/>
        <v>Clase A++</v>
      </c>
    </row>
    <row r="130" spans="1:22" x14ac:dyDescent="0.2">
      <c r="A130" s="13"/>
      <c r="B130" s="14" t="str">
        <f>IF(A130="","",INDEX(proveedores[Proveedor],MATCH(A130,proveedores[Código],0)))</f>
        <v/>
      </c>
      <c r="C130" s="14" t="str">
        <f>IF(A130="","",INDEX(proveedores[Material],MATCH(A130,proveedores[Código],0)))</f>
        <v/>
      </c>
      <c r="D130" s="15" t="str">
        <f>IF(A130="","",INDEX(proveedores[Perfil],MATCH(A130,proveedores[Código],0)))</f>
        <v/>
      </c>
      <c r="E130" s="15" t="str">
        <f>IF(A130="","",IFERROR(INDEX(proveedores[Nivel de criticidad],MATCH(A130,proveedores[Código],0)),""))</f>
        <v/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5">
        <f t="shared" si="6"/>
        <v>100</v>
      </c>
      <c r="V130" s="12" t="str">
        <f t="shared" si="7"/>
        <v>Clase A++</v>
      </c>
    </row>
    <row r="131" spans="1:22" x14ac:dyDescent="0.2">
      <c r="A131" s="13"/>
      <c r="B131" s="14" t="str">
        <f>IF(A131="","",INDEX(proveedores[Proveedor],MATCH(A131,proveedores[Código],0)))</f>
        <v/>
      </c>
      <c r="C131" s="14" t="str">
        <f>IF(A131="","",INDEX(proveedores[Material],MATCH(A131,proveedores[Código],0)))</f>
        <v/>
      </c>
      <c r="D131" s="15" t="str">
        <f>IF(A131="","",INDEX(proveedores[Perfil],MATCH(A131,proveedores[Código],0)))</f>
        <v/>
      </c>
      <c r="E131" s="15" t="str">
        <f>IF(A131="","",IFERROR(INDEX(proveedores[Nivel de criticidad],MATCH(A131,proveedores[Código],0)),""))</f>
        <v/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5">
        <f t="shared" si="6"/>
        <v>100</v>
      </c>
      <c r="V131" s="12" t="str">
        <f t="shared" si="7"/>
        <v>Clase A++</v>
      </c>
    </row>
    <row r="132" spans="1:22" x14ac:dyDescent="0.2">
      <c r="A132" s="13"/>
      <c r="B132" s="14" t="str">
        <f>IF(A132="","",INDEX(proveedores[Proveedor],MATCH(A132,proveedores[Código],0)))</f>
        <v/>
      </c>
      <c r="C132" s="14" t="str">
        <f>IF(A132="","",INDEX(proveedores[Material],MATCH(A132,proveedores[Código],0)))</f>
        <v/>
      </c>
      <c r="D132" s="15" t="str">
        <f>IF(A132="","",INDEX(proveedores[Perfil],MATCH(A132,proveedores[Código],0)))</f>
        <v/>
      </c>
      <c r="E132" s="15" t="str">
        <f>IF(A132="","",IFERROR(INDEX(proveedores[Nivel de criticidad],MATCH(A132,proveedores[Código],0)),""))</f>
        <v/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5">
        <f t="shared" si="6"/>
        <v>100</v>
      </c>
      <c r="V132" s="12" t="str">
        <f t="shared" si="7"/>
        <v>Clase A++</v>
      </c>
    </row>
    <row r="133" spans="1:22" x14ac:dyDescent="0.2">
      <c r="A133" s="13"/>
      <c r="B133" s="14" t="str">
        <f>IF(A133="","",INDEX(proveedores[Proveedor],MATCH(A133,proveedores[Código],0)))</f>
        <v/>
      </c>
      <c r="C133" s="14" t="str">
        <f>IF(A133="","",INDEX(proveedores[Material],MATCH(A133,proveedores[Código],0)))</f>
        <v/>
      </c>
      <c r="D133" s="15" t="str">
        <f>IF(A133="","",INDEX(proveedores[Perfil],MATCH(A133,proveedores[Código],0)))</f>
        <v/>
      </c>
      <c r="E133" s="15" t="str">
        <f>IF(A133="","",IFERROR(INDEX(proveedores[Nivel de criticidad],MATCH(A133,proveedores[Código],0)),""))</f>
        <v/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5">
        <f t="shared" si="6"/>
        <v>100</v>
      </c>
      <c r="V133" s="12" t="str">
        <f t="shared" si="7"/>
        <v>Clase A++</v>
      </c>
    </row>
    <row r="134" spans="1:22" x14ac:dyDescent="0.2">
      <c r="A134" s="13"/>
      <c r="B134" s="14" t="str">
        <f>IF(A134="","",INDEX(proveedores[Proveedor],MATCH(A134,proveedores[Código],0)))</f>
        <v/>
      </c>
      <c r="C134" s="14" t="str">
        <f>IF(A134="","",INDEX(proveedores[Material],MATCH(A134,proveedores[Código],0)))</f>
        <v/>
      </c>
      <c r="D134" s="15" t="str">
        <f>IF(A134="","",INDEX(proveedores[Perfil],MATCH(A134,proveedores[Código],0)))</f>
        <v/>
      </c>
      <c r="E134" s="15" t="str">
        <f>IF(A134="","",IFERROR(INDEX(proveedores[Nivel de criticidad],MATCH(A134,proveedores[Código],0)),""))</f>
        <v/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5">
        <f t="shared" ref="U134:U165" si="8">IF(D134="Internacional", MIN(IF(((F134*10)+(G134*3)+(H134*4)+(I134*5)+(J134*8)+(O134*5)+(P134*2)+IF(L134="N/A",0,(L134*10)+(M134*5)+(N134*3)))&gt;0,98,100), ((MAX(0, 30 - (F134*10) - (G134*3))/30)*45) + ((MAX(0, 25 - (H134*4) - (I134*5) - (J134*8) - (K134*5))/25)*35) + ((MAX(0, 15 - (O134*5) - (P134*2))/15)*20) + (IF(Q134="N/A",0,Q134)*2.5) + (IF(R134="N/A",0,R134)*2.5) + (IF(S134="N/A",0,S134)*2.5) + (IF(T134="N/A",0,T134)*2.5)), IF(D134="Local Insumos", MIN(IF(((F134*10)+(G134*3)+(H134*4)+(I134*5)+(J134*8)+(O134*5)+(P134*2)+IF(L134="N/A",0,(L134*10)+(M134*5)+(N134*3)))&gt;0,98,100), ((MAX(0, 30 - (F134*10) - (G134*3))/30)*35) + ((MAX(0, 25 - (H134*4) - (I134*5) - (J134*8) - (K134*5))/25)*30) + MAX(0, 20 - (L134*10) - (M134*5) - (N134*3)) + MAX(0, 15 - (O134*5) - (P134*2)) + (IF(Q134="N/A",0,Q134)*2.5) + (IF(R134="N/A",0,R134)*2.5) + (IF(S134="N/A",0,S134)*2.5) + (IF(T134="N/A",0,T134)*2.5)), MIN(IF(((F134*10)+(G134*3)+(H134*4)+(I134*5)+(J134*8)+(O134*5)+(P134*2)+IF(L134="N/A",0,(L134*10)+(M134*5)+(N134*3)))&gt;0,98,100), ((MAX(0, 25 - (H134*4) - (I134*5) - (J134*8) - (K134*5))/25)*55) + ((MAX(0, 20 - (L134*10) - (M134*5) - (N134*3))/20)*30) + ((MAX(0, 15 - (O134*5) - (P134*2))/15)*15))))</f>
        <v>100</v>
      </c>
      <c r="V134" s="12" t="str">
        <f t="shared" ref="V134:V165" si="9">IF(U134&gt;=96, "Clase A++", IF(U134&gt;=85, "Clase A", IF(U134&gt;=70, "Clase B", "Clase C")))</f>
        <v>Clase A++</v>
      </c>
    </row>
    <row r="135" spans="1:22" x14ac:dyDescent="0.2">
      <c r="A135" s="13"/>
      <c r="B135" s="14" t="str">
        <f>IF(A135="","",INDEX(proveedores[Proveedor],MATCH(A135,proveedores[Código],0)))</f>
        <v/>
      </c>
      <c r="C135" s="14" t="str">
        <f>IF(A135="","",INDEX(proveedores[Material],MATCH(A135,proveedores[Código],0)))</f>
        <v/>
      </c>
      <c r="D135" s="15" t="str">
        <f>IF(A135="","",INDEX(proveedores[Perfil],MATCH(A135,proveedores[Código],0)))</f>
        <v/>
      </c>
      <c r="E135" s="15" t="str">
        <f>IF(A135="","",IFERROR(INDEX(proveedores[Nivel de criticidad],MATCH(A135,proveedores[Código],0)),""))</f>
        <v/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5">
        <f t="shared" si="8"/>
        <v>100</v>
      </c>
      <c r="V135" s="12" t="str">
        <f t="shared" si="9"/>
        <v>Clase A++</v>
      </c>
    </row>
    <row r="136" spans="1:22" x14ac:dyDescent="0.2">
      <c r="A136" s="13"/>
      <c r="B136" s="14" t="str">
        <f>IF(A136="","",INDEX(proveedores[Proveedor],MATCH(A136,proveedores[Código],0)))</f>
        <v/>
      </c>
      <c r="C136" s="14" t="str">
        <f>IF(A136="","",INDEX(proveedores[Material],MATCH(A136,proveedores[Código],0)))</f>
        <v/>
      </c>
      <c r="D136" s="15" t="str">
        <f>IF(A136="","",INDEX(proveedores[Perfil],MATCH(A136,proveedores[Código],0)))</f>
        <v/>
      </c>
      <c r="E136" s="15" t="str">
        <f>IF(A136="","",IFERROR(INDEX(proveedores[Nivel de criticidad],MATCH(A136,proveedores[Código],0)),""))</f>
        <v/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5">
        <f t="shared" si="8"/>
        <v>100</v>
      </c>
      <c r="V136" s="12" t="str">
        <f t="shared" si="9"/>
        <v>Clase A++</v>
      </c>
    </row>
    <row r="137" spans="1:22" x14ac:dyDescent="0.2">
      <c r="A137" s="13"/>
      <c r="B137" s="14" t="str">
        <f>IF(A137="","",INDEX(proveedores[Proveedor],MATCH(A137,proveedores[Código],0)))</f>
        <v/>
      </c>
      <c r="C137" s="14" t="str">
        <f>IF(A137="","",INDEX(proveedores[Material],MATCH(A137,proveedores[Código],0)))</f>
        <v/>
      </c>
      <c r="D137" s="15" t="str">
        <f>IF(A137="","",INDEX(proveedores[Perfil],MATCH(A137,proveedores[Código],0)))</f>
        <v/>
      </c>
      <c r="E137" s="15" t="str">
        <f>IF(A137="","",IFERROR(INDEX(proveedores[Nivel de criticidad],MATCH(A137,proveedores[Código],0)),""))</f>
        <v/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5">
        <f t="shared" si="8"/>
        <v>100</v>
      </c>
      <c r="V137" s="12" t="str">
        <f t="shared" si="9"/>
        <v>Clase A++</v>
      </c>
    </row>
    <row r="138" spans="1:22" x14ac:dyDescent="0.2">
      <c r="A138" s="13"/>
      <c r="B138" s="14" t="str">
        <f>IF(A138="","",INDEX(proveedores[Proveedor],MATCH(A138,proveedores[Código],0)))</f>
        <v/>
      </c>
      <c r="C138" s="14" t="str">
        <f>IF(A138="","",INDEX(proveedores[Material],MATCH(A138,proveedores[Código],0)))</f>
        <v/>
      </c>
      <c r="D138" s="15" t="str">
        <f>IF(A138="","",INDEX(proveedores[Perfil],MATCH(A138,proveedores[Código],0)))</f>
        <v/>
      </c>
      <c r="E138" s="15" t="str">
        <f>IF(A138="","",IFERROR(INDEX(proveedores[Nivel de criticidad],MATCH(A138,proveedores[Código],0)),""))</f>
        <v/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5">
        <f t="shared" si="8"/>
        <v>100</v>
      </c>
      <c r="V138" s="12" t="str">
        <f t="shared" si="9"/>
        <v>Clase A++</v>
      </c>
    </row>
    <row r="139" spans="1:22" x14ac:dyDescent="0.2">
      <c r="A139" s="13"/>
      <c r="B139" s="14" t="str">
        <f>IF(A139="","",INDEX(proveedores[Proveedor],MATCH(A139,proveedores[Código],0)))</f>
        <v/>
      </c>
      <c r="C139" s="14" t="str">
        <f>IF(A139="","",INDEX(proveedores[Material],MATCH(A139,proveedores[Código],0)))</f>
        <v/>
      </c>
      <c r="D139" s="15" t="str">
        <f>IF(A139="","",INDEX(proveedores[Perfil],MATCH(A139,proveedores[Código],0)))</f>
        <v/>
      </c>
      <c r="E139" s="15" t="str">
        <f>IF(A139="","",IFERROR(INDEX(proveedores[Nivel de criticidad],MATCH(A139,proveedores[Código],0)),""))</f>
        <v/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5">
        <f t="shared" si="8"/>
        <v>100</v>
      </c>
      <c r="V139" s="12" t="str">
        <f t="shared" si="9"/>
        <v>Clase A++</v>
      </c>
    </row>
    <row r="140" spans="1:22" x14ac:dyDescent="0.2">
      <c r="A140" s="13"/>
      <c r="B140" s="14" t="str">
        <f>IF(A140="","",INDEX(proveedores[Proveedor],MATCH(A140,proveedores[Código],0)))</f>
        <v/>
      </c>
      <c r="C140" s="14" t="str">
        <f>IF(A140="","",INDEX(proveedores[Material],MATCH(A140,proveedores[Código],0)))</f>
        <v/>
      </c>
      <c r="D140" s="15" t="str">
        <f>IF(A140="","",INDEX(proveedores[Perfil],MATCH(A140,proveedores[Código],0)))</f>
        <v/>
      </c>
      <c r="E140" s="15" t="str">
        <f>IF(A140="","",IFERROR(INDEX(proveedores[Nivel de criticidad],MATCH(A140,proveedores[Código],0)),""))</f>
        <v/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5">
        <f t="shared" si="8"/>
        <v>100</v>
      </c>
      <c r="V140" s="12" t="str">
        <f t="shared" si="9"/>
        <v>Clase A++</v>
      </c>
    </row>
    <row r="141" spans="1:22" x14ac:dyDescent="0.2">
      <c r="A141" s="13"/>
      <c r="B141" s="14" t="str">
        <f>IF(A141="","",INDEX(proveedores[Proveedor],MATCH(A141,proveedores[Código],0)))</f>
        <v/>
      </c>
      <c r="C141" s="14" t="str">
        <f>IF(A141="","",INDEX(proveedores[Material],MATCH(A141,proveedores[Código],0)))</f>
        <v/>
      </c>
      <c r="D141" s="15" t="str">
        <f>IF(A141="","",INDEX(proveedores[Perfil],MATCH(A141,proveedores[Código],0)))</f>
        <v/>
      </c>
      <c r="E141" s="15" t="str">
        <f>IF(A141="","",IFERROR(INDEX(proveedores[Nivel de criticidad],MATCH(A141,proveedores[Código],0)),""))</f>
        <v/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5">
        <f t="shared" si="8"/>
        <v>100</v>
      </c>
      <c r="V141" s="12" t="str">
        <f t="shared" si="9"/>
        <v>Clase A++</v>
      </c>
    </row>
    <row r="142" spans="1:22" x14ac:dyDescent="0.2">
      <c r="A142" s="13"/>
      <c r="B142" s="14" t="str">
        <f>IF(A142="","",INDEX(proveedores[Proveedor],MATCH(A142,proveedores[Código],0)))</f>
        <v/>
      </c>
      <c r="C142" s="14" t="str">
        <f>IF(A142="","",INDEX(proveedores[Material],MATCH(A142,proveedores[Código],0)))</f>
        <v/>
      </c>
      <c r="D142" s="15" t="str">
        <f>IF(A142="","",INDEX(proveedores[Perfil],MATCH(A142,proveedores[Código],0)))</f>
        <v/>
      </c>
      <c r="E142" s="15" t="str">
        <f>IF(A142="","",IFERROR(INDEX(proveedores[Nivel de criticidad],MATCH(A142,proveedores[Código],0)),""))</f>
        <v/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5">
        <f t="shared" si="8"/>
        <v>100</v>
      </c>
      <c r="V142" s="12" t="str">
        <f t="shared" si="9"/>
        <v>Clase A++</v>
      </c>
    </row>
    <row r="143" spans="1:22" x14ac:dyDescent="0.2">
      <c r="A143" s="13"/>
      <c r="B143" s="14" t="str">
        <f>IF(A143="","",INDEX(proveedores[Proveedor],MATCH(A143,proveedores[Código],0)))</f>
        <v/>
      </c>
      <c r="C143" s="14" t="str">
        <f>IF(A143="","",INDEX(proveedores[Material],MATCH(A143,proveedores[Código],0)))</f>
        <v/>
      </c>
      <c r="D143" s="15" t="str">
        <f>IF(A143="","",INDEX(proveedores[Perfil],MATCH(A143,proveedores[Código],0)))</f>
        <v/>
      </c>
      <c r="E143" s="15" t="str">
        <f>IF(A143="","",IFERROR(INDEX(proveedores[Nivel de criticidad],MATCH(A143,proveedores[Código],0)),""))</f>
        <v/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>
        <f t="shared" si="8"/>
        <v>100</v>
      </c>
      <c r="V143" s="12" t="str">
        <f t="shared" si="9"/>
        <v>Clase A++</v>
      </c>
    </row>
    <row r="144" spans="1:22" x14ac:dyDescent="0.2">
      <c r="A144" s="13"/>
      <c r="B144" s="14" t="str">
        <f>IF(A144="","",INDEX(proveedores[Proveedor],MATCH(A144,proveedores[Código],0)))</f>
        <v/>
      </c>
      <c r="C144" s="14" t="str">
        <f>IF(A144="","",INDEX(proveedores[Material],MATCH(A144,proveedores[Código],0)))</f>
        <v/>
      </c>
      <c r="D144" s="15" t="str">
        <f>IF(A144="","",INDEX(proveedores[Perfil],MATCH(A144,proveedores[Código],0)))</f>
        <v/>
      </c>
      <c r="E144" s="15" t="str">
        <f>IF(A144="","",IFERROR(INDEX(proveedores[Nivel de criticidad],MATCH(A144,proveedores[Código],0)),""))</f>
        <v/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>
        <f t="shared" si="8"/>
        <v>100</v>
      </c>
      <c r="V144" s="12" t="str">
        <f t="shared" si="9"/>
        <v>Clase A++</v>
      </c>
    </row>
    <row r="145" spans="1:22" x14ac:dyDescent="0.2">
      <c r="A145" s="13"/>
      <c r="B145" s="14" t="str">
        <f>IF(A145="","",INDEX(proveedores[Proveedor],MATCH(A145,proveedores[Código],0)))</f>
        <v/>
      </c>
      <c r="C145" s="14" t="str">
        <f>IF(A145="","",INDEX(proveedores[Material],MATCH(A145,proveedores[Código],0)))</f>
        <v/>
      </c>
      <c r="D145" s="15" t="str">
        <f>IF(A145="","",INDEX(proveedores[Perfil],MATCH(A145,proveedores[Código],0)))</f>
        <v/>
      </c>
      <c r="E145" s="15" t="str">
        <f>IF(A145="","",IFERROR(INDEX(proveedores[Nivel de criticidad],MATCH(A145,proveedores[Código],0)),""))</f>
        <v/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5">
        <f t="shared" si="8"/>
        <v>100</v>
      </c>
      <c r="V145" s="12" t="str">
        <f t="shared" si="9"/>
        <v>Clase A++</v>
      </c>
    </row>
    <row r="146" spans="1:22" x14ac:dyDescent="0.2">
      <c r="A146" s="13"/>
      <c r="B146" s="14" t="str">
        <f>IF(A146="","",INDEX(proveedores[Proveedor],MATCH(A146,proveedores[Código],0)))</f>
        <v/>
      </c>
      <c r="C146" s="14" t="str">
        <f>IF(A146="","",INDEX(proveedores[Material],MATCH(A146,proveedores[Código],0)))</f>
        <v/>
      </c>
      <c r="D146" s="15" t="str">
        <f>IF(A146="","",INDEX(proveedores[Perfil],MATCH(A146,proveedores[Código],0)))</f>
        <v/>
      </c>
      <c r="E146" s="15" t="str">
        <f>IF(A146="","",IFERROR(INDEX(proveedores[Nivel de criticidad],MATCH(A146,proveedores[Código],0)),""))</f>
        <v/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5">
        <f t="shared" si="8"/>
        <v>100</v>
      </c>
      <c r="V146" s="12" t="str">
        <f t="shared" si="9"/>
        <v>Clase A++</v>
      </c>
    </row>
    <row r="147" spans="1:22" x14ac:dyDescent="0.2">
      <c r="A147" s="13"/>
      <c r="B147" s="14" t="str">
        <f>IF(A147="","",INDEX(proveedores[Proveedor],MATCH(A147,proveedores[Código],0)))</f>
        <v/>
      </c>
      <c r="C147" s="14" t="str">
        <f>IF(A147="","",INDEX(proveedores[Material],MATCH(A147,proveedores[Código],0)))</f>
        <v/>
      </c>
      <c r="D147" s="15" t="str">
        <f>IF(A147="","",INDEX(proveedores[Perfil],MATCH(A147,proveedores[Código],0)))</f>
        <v/>
      </c>
      <c r="E147" s="15" t="str">
        <f>IF(A147="","",IFERROR(INDEX(proveedores[Nivel de criticidad],MATCH(A147,proveedores[Código],0)),""))</f>
        <v/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5">
        <f t="shared" si="8"/>
        <v>100</v>
      </c>
      <c r="V147" s="12" t="str">
        <f t="shared" si="9"/>
        <v>Clase A++</v>
      </c>
    </row>
    <row r="148" spans="1:22" x14ac:dyDescent="0.2">
      <c r="A148" s="13"/>
      <c r="B148" s="14" t="str">
        <f>IF(A148="","",INDEX(proveedores[Proveedor],MATCH(A148,proveedores[Código],0)))</f>
        <v/>
      </c>
      <c r="C148" s="14" t="str">
        <f>IF(A148="","",INDEX(proveedores[Material],MATCH(A148,proveedores[Código],0)))</f>
        <v/>
      </c>
      <c r="D148" s="15" t="str">
        <f>IF(A148="","",INDEX(proveedores[Perfil],MATCH(A148,proveedores[Código],0)))</f>
        <v/>
      </c>
      <c r="E148" s="15" t="str">
        <f>IF(A148="","",IFERROR(INDEX(proveedores[Nivel de criticidad],MATCH(A148,proveedores[Código],0)),""))</f>
        <v/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5">
        <f t="shared" si="8"/>
        <v>100</v>
      </c>
      <c r="V148" s="12" t="str">
        <f t="shared" si="9"/>
        <v>Clase A++</v>
      </c>
    </row>
    <row r="149" spans="1:22" x14ac:dyDescent="0.2">
      <c r="A149" s="13"/>
      <c r="B149" s="14" t="str">
        <f>IF(A149="","",INDEX(proveedores[Proveedor],MATCH(A149,proveedores[Código],0)))</f>
        <v/>
      </c>
      <c r="C149" s="14" t="str">
        <f>IF(A149="","",INDEX(proveedores[Material],MATCH(A149,proveedores[Código],0)))</f>
        <v/>
      </c>
      <c r="D149" s="15" t="str">
        <f>IF(A149="","",INDEX(proveedores[Perfil],MATCH(A149,proveedores[Código],0)))</f>
        <v/>
      </c>
      <c r="E149" s="15" t="str">
        <f>IF(A149="","",IFERROR(INDEX(proveedores[Nivel de criticidad],MATCH(A149,proveedores[Código],0)),""))</f>
        <v/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5">
        <f t="shared" si="8"/>
        <v>100</v>
      </c>
      <c r="V149" s="12" t="str">
        <f t="shared" si="9"/>
        <v>Clase A++</v>
      </c>
    </row>
    <row r="150" spans="1:22" x14ac:dyDescent="0.2">
      <c r="A150" s="13"/>
      <c r="B150" s="14" t="str">
        <f>IF(A150="","",INDEX(proveedores[Proveedor],MATCH(A150,proveedores[Código],0)))</f>
        <v/>
      </c>
      <c r="C150" s="14" t="str">
        <f>IF(A150="","",INDEX(proveedores[Material],MATCH(A150,proveedores[Código],0)))</f>
        <v/>
      </c>
      <c r="D150" s="15" t="str">
        <f>IF(A150="","",INDEX(proveedores[Perfil],MATCH(A150,proveedores[Código],0)))</f>
        <v/>
      </c>
      <c r="E150" s="15" t="str">
        <f>IF(A150="","",IFERROR(INDEX(proveedores[Nivel de criticidad],MATCH(A150,proveedores[Código],0)),""))</f>
        <v/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5">
        <f t="shared" si="8"/>
        <v>100</v>
      </c>
      <c r="V150" s="12" t="str">
        <f t="shared" si="9"/>
        <v>Clase A++</v>
      </c>
    </row>
    <row r="151" spans="1:22" x14ac:dyDescent="0.2">
      <c r="A151" s="13"/>
      <c r="B151" s="14" t="str">
        <f>IF(A151="","",INDEX(proveedores[Proveedor],MATCH(A151,proveedores[Código],0)))</f>
        <v/>
      </c>
      <c r="C151" s="14" t="str">
        <f>IF(A151="","",INDEX(proveedores[Material],MATCH(A151,proveedores[Código],0)))</f>
        <v/>
      </c>
      <c r="D151" s="15" t="str">
        <f>IF(A151="","",INDEX(proveedores[Perfil],MATCH(A151,proveedores[Código],0)))</f>
        <v/>
      </c>
      <c r="E151" s="15" t="str">
        <f>IF(A151="","",IFERROR(INDEX(proveedores[Nivel de criticidad],MATCH(A151,proveedores[Código],0)),""))</f>
        <v/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5">
        <f t="shared" si="8"/>
        <v>100</v>
      </c>
      <c r="V151" s="12" t="str">
        <f t="shared" si="9"/>
        <v>Clase A++</v>
      </c>
    </row>
    <row r="152" spans="1:22" x14ac:dyDescent="0.2">
      <c r="A152" s="13"/>
      <c r="B152" s="14" t="str">
        <f>IF(A152="","",INDEX(proveedores[Proveedor],MATCH(A152,proveedores[Código],0)))</f>
        <v/>
      </c>
      <c r="C152" s="14" t="str">
        <f>IF(A152="","",INDEX(proveedores[Material],MATCH(A152,proveedores[Código],0)))</f>
        <v/>
      </c>
      <c r="D152" s="15" t="str">
        <f>IF(A152="","",INDEX(proveedores[Perfil],MATCH(A152,proveedores[Código],0)))</f>
        <v/>
      </c>
      <c r="E152" s="15" t="str">
        <f>IF(A152="","",IFERROR(INDEX(proveedores[Nivel de criticidad],MATCH(A152,proveedores[Código],0)),""))</f>
        <v/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5">
        <f t="shared" si="8"/>
        <v>100</v>
      </c>
      <c r="V152" s="12" t="str">
        <f t="shared" si="9"/>
        <v>Clase A++</v>
      </c>
    </row>
    <row r="153" spans="1:22" x14ac:dyDescent="0.2">
      <c r="A153" s="13"/>
      <c r="B153" s="14" t="str">
        <f>IF(A153="","",INDEX(proveedores[Proveedor],MATCH(A153,proveedores[Código],0)))</f>
        <v/>
      </c>
      <c r="C153" s="14" t="str">
        <f>IF(A153="","",INDEX(proveedores[Material],MATCH(A153,proveedores[Código],0)))</f>
        <v/>
      </c>
      <c r="D153" s="15" t="str">
        <f>IF(A153="","",INDEX(proveedores[Perfil],MATCH(A153,proveedores[Código],0)))</f>
        <v/>
      </c>
      <c r="E153" s="15" t="str">
        <f>IF(A153="","",IFERROR(INDEX(proveedores[Nivel de criticidad],MATCH(A153,proveedores[Código],0)),""))</f>
        <v/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5">
        <f t="shared" si="8"/>
        <v>100</v>
      </c>
      <c r="V153" s="12" t="str">
        <f t="shared" si="9"/>
        <v>Clase A++</v>
      </c>
    </row>
    <row r="154" spans="1:22" x14ac:dyDescent="0.2">
      <c r="A154" s="13"/>
      <c r="B154" s="14" t="str">
        <f>IF(A154="","",INDEX(proveedores[Proveedor],MATCH(A154,proveedores[Código],0)))</f>
        <v/>
      </c>
      <c r="C154" s="14" t="str">
        <f>IF(A154="","",INDEX(proveedores[Material],MATCH(A154,proveedores[Código],0)))</f>
        <v/>
      </c>
      <c r="D154" s="15" t="str">
        <f>IF(A154="","",INDEX(proveedores[Perfil],MATCH(A154,proveedores[Código],0)))</f>
        <v/>
      </c>
      <c r="E154" s="15" t="str">
        <f>IF(A154="","",IFERROR(INDEX(proveedores[Nivel de criticidad],MATCH(A154,proveedores[Código],0)),""))</f>
        <v/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5">
        <f t="shared" si="8"/>
        <v>100</v>
      </c>
      <c r="V154" s="12" t="str">
        <f t="shared" si="9"/>
        <v>Clase A++</v>
      </c>
    </row>
    <row r="155" spans="1:22" x14ac:dyDescent="0.2">
      <c r="A155" s="13"/>
      <c r="B155" s="14" t="str">
        <f>IF(A155="","",INDEX(proveedores[Proveedor],MATCH(A155,proveedores[Código],0)))</f>
        <v/>
      </c>
      <c r="C155" s="14" t="str">
        <f>IF(A155="","",INDEX(proveedores[Material],MATCH(A155,proveedores[Código],0)))</f>
        <v/>
      </c>
      <c r="D155" s="15" t="str">
        <f>IF(A155="","",INDEX(proveedores[Perfil],MATCH(A155,proveedores[Código],0)))</f>
        <v/>
      </c>
      <c r="E155" s="15" t="str">
        <f>IF(A155="","",IFERROR(INDEX(proveedores[Nivel de criticidad],MATCH(A155,proveedores[Código],0)),""))</f>
        <v/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5">
        <f t="shared" si="8"/>
        <v>100</v>
      </c>
      <c r="V155" s="12" t="str">
        <f t="shared" si="9"/>
        <v>Clase A++</v>
      </c>
    </row>
    <row r="156" spans="1:22" x14ac:dyDescent="0.2">
      <c r="A156" s="13"/>
      <c r="B156" s="14" t="str">
        <f>IF(A156="","",INDEX(proveedores[Proveedor],MATCH(A156,proveedores[Código],0)))</f>
        <v/>
      </c>
      <c r="C156" s="14" t="str">
        <f>IF(A156="","",INDEX(proveedores[Material],MATCH(A156,proveedores[Código],0)))</f>
        <v/>
      </c>
      <c r="D156" s="15" t="str">
        <f>IF(A156="","",INDEX(proveedores[Perfil],MATCH(A156,proveedores[Código],0)))</f>
        <v/>
      </c>
      <c r="E156" s="15" t="str">
        <f>IF(A156="","",IFERROR(INDEX(proveedores[Nivel de criticidad],MATCH(A156,proveedores[Código],0)),""))</f>
        <v/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5">
        <f t="shared" si="8"/>
        <v>100</v>
      </c>
      <c r="V156" s="12" t="str">
        <f t="shared" si="9"/>
        <v>Clase A++</v>
      </c>
    </row>
    <row r="157" spans="1:22" x14ac:dyDescent="0.2">
      <c r="A157" s="13"/>
      <c r="B157" s="14" t="str">
        <f>IF(A157="","",INDEX(proveedores[Proveedor],MATCH(A157,proveedores[Código],0)))</f>
        <v/>
      </c>
      <c r="C157" s="14" t="str">
        <f>IF(A157="","",INDEX(proveedores[Material],MATCH(A157,proveedores[Código],0)))</f>
        <v/>
      </c>
      <c r="D157" s="15" t="str">
        <f>IF(A157="","",INDEX(proveedores[Perfil],MATCH(A157,proveedores[Código],0)))</f>
        <v/>
      </c>
      <c r="E157" s="15" t="str">
        <f>IF(A157="","",IFERROR(INDEX(proveedores[Nivel de criticidad],MATCH(A157,proveedores[Código],0)),""))</f>
        <v/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5">
        <f t="shared" si="8"/>
        <v>100</v>
      </c>
      <c r="V157" s="12" t="str">
        <f t="shared" si="9"/>
        <v>Clase A++</v>
      </c>
    </row>
    <row r="158" spans="1:22" x14ac:dyDescent="0.2">
      <c r="A158" s="13"/>
      <c r="B158" s="14" t="str">
        <f>IF(A158="","",INDEX(proveedores[Proveedor],MATCH(A158,proveedores[Código],0)))</f>
        <v/>
      </c>
      <c r="C158" s="14" t="str">
        <f>IF(A158="","",INDEX(proveedores[Material],MATCH(A158,proveedores[Código],0)))</f>
        <v/>
      </c>
      <c r="D158" s="15" t="str">
        <f>IF(A158="","",INDEX(proveedores[Perfil],MATCH(A158,proveedores[Código],0)))</f>
        <v/>
      </c>
      <c r="E158" s="15" t="str">
        <f>IF(A158="","",IFERROR(INDEX(proveedores[Nivel de criticidad],MATCH(A158,proveedores[Código],0)),""))</f>
        <v/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5">
        <f t="shared" si="8"/>
        <v>100</v>
      </c>
      <c r="V158" s="12" t="str">
        <f t="shared" si="9"/>
        <v>Clase A++</v>
      </c>
    </row>
    <row r="159" spans="1:22" x14ac:dyDescent="0.2">
      <c r="A159" s="13"/>
      <c r="B159" s="14" t="str">
        <f>IF(A159="","",INDEX(proveedores[Proveedor],MATCH(A159,proveedores[Código],0)))</f>
        <v/>
      </c>
      <c r="C159" s="14" t="str">
        <f>IF(A159="","",INDEX(proveedores[Material],MATCH(A159,proveedores[Código],0)))</f>
        <v/>
      </c>
      <c r="D159" s="15" t="str">
        <f>IF(A159="","",INDEX(proveedores[Perfil],MATCH(A159,proveedores[Código],0)))</f>
        <v/>
      </c>
      <c r="E159" s="15" t="str">
        <f>IF(A159="","",IFERROR(INDEX(proveedores[Nivel de criticidad],MATCH(A159,proveedores[Código],0)),""))</f>
        <v/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5">
        <f t="shared" ref="U159:U197" si="10">IF(D159="Internacional", MIN(IF(((F159*10)+(G159*3)+(H159*4)+(I159*5)+(J159*8)+(O159*5)+(P159*2)+IF(L159="N/A",0,(L159*10)+(M159*5)+(N159*3)))&gt;0,98,100), ((MAX(0, 30 - (F159*10) - (G159*3))/30)*45) + ((MAX(0, 25 - (H159*4) - (I159*5) - (J159*8) - (K159*5))/25)*35) + ((MAX(0, 15 - (O159*5) - (P159*2))/15)*20) + (IF(Q159="N/A",0,Q159)*2.5) + (IF(R159="N/A",0,R159)*2.5) + (IF(S159="N/A",0,S159)*2.5) + (IF(T159="N/A",0,T159)*2.5)), IF(D159="Local Insumos", MIN(IF(((F159*10)+(G159*3)+(H159*4)+(I159*5)+(J159*8)+(O159*5)+(P159*2)+IF(L159="N/A",0,(L159*10)+(M159*5)+(N159*3)))&gt;0,98,100), ((MAX(0, 30 - (F159*10) - (G159*3))/30)*35) + ((MAX(0, 25 - (H159*4) - (I159*5) - (J159*8) - (K159*5))/25)*30) + MAX(0, 20 - (L159*10) - (M159*5) - (N159*3)) + MAX(0, 15 - (O159*5) - (P159*2)) + (IF(Q159="N/A",0,Q159)*2.5) + (IF(R159="N/A",0,R159)*2.5) + (IF(S159="N/A",0,S159)*2.5) + (IF(T159="N/A",0,T159)*2.5)), MIN(IF(((F159*10)+(G159*3)+(H159*4)+(I159*5)+(J159*8)+(O159*5)+(P159*2)+IF(L159="N/A",0,(L159*10)+(M159*5)+(N159*3)))&gt;0,98,100), ((MAX(0, 25 - (H159*4) - (I159*5) - (J159*8) - (K159*5))/25)*55) + ((MAX(0, 20 - (L159*10) - (M159*5) - (N159*3))/20)*30) + ((MAX(0, 15 - (O159*5) - (P159*2))/15)*15))))</f>
        <v>100</v>
      </c>
      <c r="V159" s="12" t="str">
        <f t="shared" ref="V159:V198" si="11">IF(U159&gt;=96, "Clase A++", IF(U159&gt;=85, "Clase A", IF(U159&gt;=70, "Clase B", "Clase C")))</f>
        <v>Clase A++</v>
      </c>
    </row>
    <row r="160" spans="1:22" x14ac:dyDescent="0.2">
      <c r="A160" s="13"/>
      <c r="B160" s="14" t="str">
        <f>IF(A160="","",INDEX(proveedores[Proveedor],MATCH(A160,proveedores[Código],0)))</f>
        <v/>
      </c>
      <c r="C160" s="14" t="str">
        <f>IF(A160="","",INDEX(proveedores[Material],MATCH(A160,proveedores[Código],0)))</f>
        <v/>
      </c>
      <c r="D160" s="15" t="str">
        <f>IF(A160="","",INDEX(proveedores[Perfil],MATCH(A160,proveedores[Código],0)))</f>
        <v/>
      </c>
      <c r="E160" s="15" t="str">
        <f>IF(A160="","",IFERROR(INDEX(proveedores[Nivel de criticidad],MATCH(A160,proveedores[Código],0)),""))</f>
        <v/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5">
        <f t="shared" si="10"/>
        <v>100</v>
      </c>
      <c r="V160" s="12" t="str">
        <f t="shared" si="11"/>
        <v>Clase A++</v>
      </c>
    </row>
    <row r="161" spans="1:22" x14ac:dyDescent="0.2">
      <c r="A161" s="13"/>
      <c r="B161" s="14" t="str">
        <f>IF(A161="","",INDEX(proveedores[Proveedor],MATCH(A161,proveedores[Código],0)))</f>
        <v/>
      </c>
      <c r="C161" s="14" t="str">
        <f>IF(A161="","",INDEX(proveedores[Material],MATCH(A161,proveedores[Código],0)))</f>
        <v/>
      </c>
      <c r="D161" s="15" t="str">
        <f>IF(A161="","",INDEX(proveedores[Perfil],MATCH(A161,proveedores[Código],0)))</f>
        <v/>
      </c>
      <c r="E161" s="15" t="str">
        <f>IF(A161="","",IFERROR(INDEX(proveedores[Nivel de criticidad],MATCH(A161,proveedores[Código],0)),""))</f>
        <v/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5">
        <f t="shared" si="10"/>
        <v>100</v>
      </c>
      <c r="V161" s="12" t="str">
        <f t="shared" si="11"/>
        <v>Clase A++</v>
      </c>
    </row>
    <row r="162" spans="1:22" x14ac:dyDescent="0.2">
      <c r="A162" s="13"/>
      <c r="B162" s="14" t="str">
        <f>IF(A162="","",INDEX(proveedores[Proveedor],MATCH(A162,proveedores[Código],0)))</f>
        <v/>
      </c>
      <c r="C162" s="14" t="str">
        <f>IF(A162="","",INDEX(proveedores[Material],MATCH(A162,proveedores[Código],0)))</f>
        <v/>
      </c>
      <c r="D162" s="15" t="str">
        <f>IF(A162="","",INDEX(proveedores[Perfil],MATCH(A162,proveedores[Código],0)))</f>
        <v/>
      </c>
      <c r="E162" s="15" t="str">
        <f>IF(A162="","",IFERROR(INDEX(proveedores[Nivel de criticidad],MATCH(A162,proveedores[Código],0)),""))</f>
        <v/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5">
        <f t="shared" si="10"/>
        <v>100</v>
      </c>
      <c r="V162" s="12" t="str">
        <f t="shared" si="11"/>
        <v>Clase A++</v>
      </c>
    </row>
    <row r="163" spans="1:22" x14ac:dyDescent="0.2">
      <c r="A163" s="13"/>
      <c r="B163" s="14" t="str">
        <f>IF(A163="","",INDEX(proveedores[Proveedor],MATCH(A163,proveedores[Código],0)))</f>
        <v/>
      </c>
      <c r="C163" s="14" t="str">
        <f>IF(A163="","",INDEX(proveedores[Material],MATCH(A163,proveedores[Código],0)))</f>
        <v/>
      </c>
      <c r="D163" s="15" t="str">
        <f>IF(A163="","",INDEX(proveedores[Perfil],MATCH(A163,proveedores[Código],0)))</f>
        <v/>
      </c>
      <c r="E163" s="15" t="str">
        <f>IF(A163="","",IFERROR(INDEX(proveedores[Nivel de criticidad],MATCH(A163,proveedores[Código],0)),""))</f>
        <v/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5">
        <f t="shared" si="10"/>
        <v>100</v>
      </c>
      <c r="V163" s="12" t="str">
        <f t="shared" si="11"/>
        <v>Clase A++</v>
      </c>
    </row>
    <row r="164" spans="1:22" x14ac:dyDescent="0.2">
      <c r="A164" s="13"/>
      <c r="B164" s="14" t="str">
        <f>IF(A164="","",INDEX(proveedores[Proveedor],MATCH(A164,proveedores[Código],0)))</f>
        <v/>
      </c>
      <c r="C164" s="14" t="str">
        <f>IF(A164="","",INDEX(proveedores[Material],MATCH(A164,proveedores[Código],0)))</f>
        <v/>
      </c>
      <c r="D164" s="15" t="str">
        <f>IF(A164="","",INDEX(proveedores[Perfil],MATCH(A164,proveedores[Código],0)))</f>
        <v/>
      </c>
      <c r="E164" s="15" t="str">
        <f>IF(A164="","",IFERROR(INDEX(proveedores[Nivel de criticidad],MATCH(A164,proveedores[Código],0)),""))</f>
        <v/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5">
        <f t="shared" si="10"/>
        <v>100</v>
      </c>
      <c r="V164" s="12" t="str">
        <f t="shared" si="11"/>
        <v>Clase A++</v>
      </c>
    </row>
    <row r="165" spans="1:22" x14ac:dyDescent="0.2">
      <c r="A165" s="13"/>
      <c r="B165" s="14" t="str">
        <f>IF(A165="","",INDEX(proveedores[Proveedor],MATCH(A165,proveedores[Código],0)))</f>
        <v/>
      </c>
      <c r="C165" s="14" t="str">
        <f>IF(A165="","",INDEX(proveedores[Material],MATCH(A165,proveedores[Código],0)))</f>
        <v/>
      </c>
      <c r="D165" s="15" t="str">
        <f>IF(A165="","",INDEX(proveedores[Perfil],MATCH(A165,proveedores[Código],0)))</f>
        <v/>
      </c>
      <c r="E165" s="15" t="str">
        <f>IF(A165="","",IFERROR(INDEX(proveedores[Nivel de criticidad],MATCH(A165,proveedores[Código],0)),""))</f>
        <v/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5">
        <f t="shared" si="10"/>
        <v>100</v>
      </c>
      <c r="V165" s="12" t="str">
        <f t="shared" si="11"/>
        <v>Clase A++</v>
      </c>
    </row>
    <row r="166" spans="1:22" x14ac:dyDescent="0.2">
      <c r="A166" s="13"/>
      <c r="B166" s="14" t="str">
        <f>IF(A166="","",INDEX(proveedores[Proveedor],MATCH(A166,proveedores[Código],0)))</f>
        <v/>
      </c>
      <c r="C166" s="14" t="str">
        <f>IF(A166="","",INDEX(proveedores[Material],MATCH(A166,proveedores[Código],0)))</f>
        <v/>
      </c>
      <c r="D166" s="15" t="str">
        <f>IF(A166="","",INDEX(proveedores[Perfil],MATCH(A166,proveedores[Código],0)))</f>
        <v/>
      </c>
      <c r="E166" s="15" t="str">
        <f>IF(A166="","",IFERROR(INDEX(proveedores[Nivel de criticidad],MATCH(A166,proveedores[Código],0)),""))</f>
        <v/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5">
        <f t="shared" si="10"/>
        <v>100</v>
      </c>
      <c r="V166" s="12" t="str">
        <f t="shared" si="11"/>
        <v>Clase A++</v>
      </c>
    </row>
    <row r="167" spans="1:22" x14ac:dyDescent="0.2">
      <c r="A167" s="13"/>
      <c r="B167" s="14" t="str">
        <f>IF(A167="","",INDEX(proveedores[Proveedor],MATCH(A167,proveedores[Código],0)))</f>
        <v/>
      </c>
      <c r="C167" s="14" t="str">
        <f>IF(A167="","",INDEX(proveedores[Material],MATCH(A167,proveedores[Código],0)))</f>
        <v/>
      </c>
      <c r="D167" s="15" t="str">
        <f>IF(A167="","",INDEX(proveedores[Perfil],MATCH(A167,proveedores[Código],0)))</f>
        <v/>
      </c>
      <c r="E167" s="15" t="str">
        <f>IF(A167="","",IFERROR(INDEX(proveedores[Nivel de criticidad],MATCH(A167,proveedores[Código],0)),""))</f>
        <v/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5">
        <f t="shared" si="10"/>
        <v>100</v>
      </c>
      <c r="V167" s="12" t="str">
        <f t="shared" si="11"/>
        <v>Clase A++</v>
      </c>
    </row>
    <row r="168" spans="1:22" x14ac:dyDescent="0.2">
      <c r="A168" s="13"/>
      <c r="B168" s="14" t="str">
        <f>IF(A168="","",INDEX(proveedores[Proveedor],MATCH(A168,proveedores[Código],0)))</f>
        <v/>
      </c>
      <c r="C168" s="14" t="str">
        <f>IF(A168="","",INDEX(proveedores[Material],MATCH(A168,proveedores[Código],0)))</f>
        <v/>
      </c>
      <c r="D168" s="15" t="str">
        <f>IF(A168="","",INDEX(proveedores[Perfil],MATCH(A168,proveedores[Código],0)))</f>
        <v/>
      </c>
      <c r="E168" s="15" t="str">
        <f>IF(A168="","",IFERROR(INDEX(proveedores[Nivel de criticidad],MATCH(A168,proveedores[Código],0)),""))</f>
        <v/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5">
        <f t="shared" si="10"/>
        <v>100</v>
      </c>
      <c r="V168" s="12" t="str">
        <f t="shared" si="11"/>
        <v>Clase A++</v>
      </c>
    </row>
    <row r="169" spans="1:22" x14ac:dyDescent="0.2">
      <c r="A169" s="13"/>
      <c r="B169" s="14" t="str">
        <f>IF(A169="","",INDEX(proveedores[Proveedor],MATCH(A169,proveedores[Código],0)))</f>
        <v/>
      </c>
      <c r="C169" s="14" t="str">
        <f>IF(A169="","",INDEX(proveedores[Material],MATCH(A169,proveedores[Código],0)))</f>
        <v/>
      </c>
      <c r="D169" s="15" t="str">
        <f>IF(A169="","",INDEX(proveedores[Perfil],MATCH(A169,proveedores[Código],0)))</f>
        <v/>
      </c>
      <c r="E169" s="15" t="str">
        <f>IF(A169="","",IFERROR(INDEX(proveedores[Nivel de criticidad],MATCH(A169,proveedores[Código],0)),""))</f>
        <v/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5">
        <f t="shared" si="10"/>
        <v>100</v>
      </c>
      <c r="V169" s="12" t="str">
        <f t="shared" si="11"/>
        <v>Clase A++</v>
      </c>
    </row>
    <row r="170" spans="1:22" x14ac:dyDescent="0.2">
      <c r="A170" s="13"/>
      <c r="B170" s="14" t="str">
        <f>IF(A170="","",INDEX(proveedores[Proveedor],MATCH(A170,proveedores[Código],0)))</f>
        <v/>
      </c>
      <c r="C170" s="14" t="str">
        <f>IF(A170="","",INDEX(proveedores[Material],MATCH(A170,proveedores[Código],0)))</f>
        <v/>
      </c>
      <c r="D170" s="15" t="str">
        <f>IF(A170="","",INDEX(proveedores[Perfil],MATCH(A170,proveedores[Código],0)))</f>
        <v/>
      </c>
      <c r="E170" s="15" t="str">
        <f>IF(A170="","",IFERROR(INDEX(proveedores[Nivel de criticidad],MATCH(A170,proveedores[Código],0)),""))</f>
        <v/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5">
        <f t="shared" si="10"/>
        <v>100</v>
      </c>
      <c r="V170" s="12" t="str">
        <f t="shared" si="11"/>
        <v>Clase A++</v>
      </c>
    </row>
    <row r="171" spans="1:22" x14ac:dyDescent="0.2">
      <c r="A171" s="13"/>
      <c r="B171" s="14" t="str">
        <f>IF(A171="","",INDEX(proveedores[Proveedor],MATCH(A171,proveedores[Código],0)))</f>
        <v/>
      </c>
      <c r="C171" s="14" t="str">
        <f>IF(A171="","",INDEX(proveedores[Material],MATCH(A171,proveedores[Código],0)))</f>
        <v/>
      </c>
      <c r="D171" s="15" t="str">
        <f>IF(A171="","",INDEX(proveedores[Perfil],MATCH(A171,proveedores[Código],0)))</f>
        <v/>
      </c>
      <c r="E171" s="15" t="str">
        <f>IF(A171="","",IFERROR(INDEX(proveedores[Nivel de criticidad],MATCH(A171,proveedores[Código],0)),""))</f>
        <v/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5">
        <f t="shared" si="10"/>
        <v>100</v>
      </c>
      <c r="V171" s="12" t="str">
        <f t="shared" si="11"/>
        <v>Clase A++</v>
      </c>
    </row>
    <row r="172" spans="1:22" x14ac:dyDescent="0.2">
      <c r="A172" s="13"/>
      <c r="B172" s="14" t="str">
        <f>IF(A172="","",INDEX(proveedores[Proveedor],MATCH(A172,proveedores[Código],0)))</f>
        <v/>
      </c>
      <c r="C172" s="14" t="str">
        <f>IF(A172="","",INDEX(proveedores[Material],MATCH(A172,proveedores[Código],0)))</f>
        <v/>
      </c>
      <c r="D172" s="15" t="str">
        <f>IF(A172="","",INDEX(proveedores[Perfil],MATCH(A172,proveedores[Código],0)))</f>
        <v/>
      </c>
      <c r="E172" s="15" t="str">
        <f>IF(A172="","",IFERROR(INDEX(proveedores[Nivel de criticidad],MATCH(A172,proveedores[Código],0)),""))</f>
        <v/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5">
        <f t="shared" si="10"/>
        <v>100</v>
      </c>
      <c r="V172" s="12" t="str">
        <f t="shared" si="11"/>
        <v>Clase A++</v>
      </c>
    </row>
    <row r="173" spans="1:22" x14ac:dyDescent="0.2">
      <c r="A173" s="13"/>
      <c r="B173" s="14" t="str">
        <f>IF(A173="","",INDEX(proveedores[Proveedor],MATCH(A173,proveedores[Código],0)))</f>
        <v/>
      </c>
      <c r="C173" s="14" t="str">
        <f>IF(A173="","",INDEX(proveedores[Material],MATCH(A173,proveedores[Código],0)))</f>
        <v/>
      </c>
      <c r="D173" s="15" t="str">
        <f>IF(A173="","",INDEX(proveedores[Perfil],MATCH(A173,proveedores[Código],0)))</f>
        <v/>
      </c>
      <c r="E173" s="15" t="str">
        <f>IF(A173="","",IFERROR(INDEX(proveedores[Nivel de criticidad],MATCH(A173,proveedores[Código],0)),""))</f>
        <v/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5">
        <f t="shared" si="10"/>
        <v>100</v>
      </c>
      <c r="V173" s="12" t="str">
        <f t="shared" si="11"/>
        <v>Clase A++</v>
      </c>
    </row>
    <row r="174" spans="1:22" x14ac:dyDescent="0.2">
      <c r="A174" s="13"/>
      <c r="B174" s="14" t="str">
        <f>IF(A174="","",INDEX(proveedores[Proveedor],MATCH(A174,proveedores[Código],0)))</f>
        <v/>
      </c>
      <c r="C174" s="14" t="str">
        <f>IF(A174="","",INDEX(proveedores[Material],MATCH(A174,proveedores[Código],0)))</f>
        <v/>
      </c>
      <c r="D174" s="15" t="str">
        <f>IF(A174="","",INDEX(proveedores[Perfil],MATCH(A174,proveedores[Código],0)))</f>
        <v/>
      </c>
      <c r="E174" s="15" t="str">
        <f>IF(A174="","",IFERROR(INDEX(proveedores[Nivel de criticidad],MATCH(A174,proveedores[Código],0)),""))</f>
        <v/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5">
        <f t="shared" si="10"/>
        <v>100</v>
      </c>
      <c r="V174" s="12" t="str">
        <f t="shared" si="11"/>
        <v>Clase A++</v>
      </c>
    </row>
    <row r="175" spans="1:22" x14ac:dyDescent="0.2">
      <c r="A175" s="13"/>
      <c r="B175" s="14" t="str">
        <f>IF(A175="","",INDEX(proveedores[Proveedor],MATCH(A175,proveedores[Código],0)))</f>
        <v/>
      </c>
      <c r="C175" s="14" t="str">
        <f>IF(A175="","",INDEX(proveedores[Material],MATCH(A175,proveedores[Código],0)))</f>
        <v/>
      </c>
      <c r="D175" s="15" t="str">
        <f>IF(A175="","",INDEX(proveedores[Perfil],MATCH(A175,proveedores[Código],0)))</f>
        <v/>
      </c>
      <c r="E175" s="15" t="str">
        <f>IF(A175="","",IFERROR(INDEX(proveedores[Nivel de criticidad],MATCH(A175,proveedores[Código],0)),""))</f>
        <v/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5">
        <f t="shared" si="10"/>
        <v>100</v>
      </c>
      <c r="V175" s="12" t="str">
        <f t="shared" si="11"/>
        <v>Clase A++</v>
      </c>
    </row>
    <row r="176" spans="1:22" x14ac:dyDescent="0.2">
      <c r="A176" s="13"/>
      <c r="B176" s="14" t="str">
        <f>IF(A176="","",INDEX(proveedores[Proveedor],MATCH(A176,proveedores[Código],0)))</f>
        <v/>
      </c>
      <c r="C176" s="14" t="str">
        <f>IF(A176="","",INDEX(proveedores[Material],MATCH(A176,proveedores[Código],0)))</f>
        <v/>
      </c>
      <c r="D176" s="15" t="str">
        <f>IF(A176="","",INDEX(proveedores[Perfil],MATCH(A176,proveedores[Código],0)))</f>
        <v/>
      </c>
      <c r="E176" s="15" t="str">
        <f>IF(A176="","",IFERROR(INDEX(proveedores[Nivel de criticidad],MATCH(A176,proveedores[Código],0)),""))</f>
        <v/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5">
        <f t="shared" si="10"/>
        <v>100</v>
      </c>
      <c r="V176" s="12" t="str">
        <f t="shared" si="11"/>
        <v>Clase A++</v>
      </c>
    </row>
    <row r="177" spans="1:22" x14ac:dyDescent="0.2">
      <c r="A177" s="13"/>
      <c r="B177" s="14" t="str">
        <f>IF(A177="","",INDEX(proveedores[Proveedor],MATCH(A177,proveedores[Código],0)))</f>
        <v/>
      </c>
      <c r="C177" s="14" t="str">
        <f>IF(A177="","",INDEX(proveedores[Material],MATCH(A177,proveedores[Código],0)))</f>
        <v/>
      </c>
      <c r="D177" s="15" t="str">
        <f>IF(A177="","",INDEX(proveedores[Perfil],MATCH(A177,proveedores[Código],0)))</f>
        <v/>
      </c>
      <c r="E177" s="15" t="str">
        <f>IF(A177="","",IFERROR(INDEX(proveedores[Nivel de criticidad],MATCH(A177,proveedores[Código],0)),""))</f>
        <v/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5">
        <f t="shared" si="10"/>
        <v>100</v>
      </c>
      <c r="V177" s="12" t="str">
        <f t="shared" si="11"/>
        <v>Clase A++</v>
      </c>
    </row>
    <row r="178" spans="1:22" x14ac:dyDescent="0.2">
      <c r="A178" s="13"/>
      <c r="B178" s="14" t="str">
        <f>IF(A178="","",INDEX(proveedores[Proveedor],MATCH(A178,proveedores[Código],0)))</f>
        <v/>
      </c>
      <c r="C178" s="14" t="str">
        <f>IF(A178="","",INDEX(proveedores[Material],MATCH(A178,proveedores[Código],0)))</f>
        <v/>
      </c>
      <c r="D178" s="15" t="str">
        <f>IF(A178="","",INDEX(proveedores[Perfil],MATCH(A178,proveedores[Código],0)))</f>
        <v/>
      </c>
      <c r="E178" s="15" t="str">
        <f>IF(A178="","",IFERROR(INDEX(proveedores[Nivel de criticidad],MATCH(A178,proveedores[Código],0)),""))</f>
        <v/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5">
        <f t="shared" si="10"/>
        <v>100</v>
      </c>
      <c r="V178" s="12" t="str">
        <f t="shared" si="11"/>
        <v>Clase A++</v>
      </c>
    </row>
    <row r="179" spans="1:22" x14ac:dyDescent="0.2">
      <c r="A179" s="13"/>
      <c r="B179" s="14" t="str">
        <f>IF(A179="","",INDEX(proveedores[Proveedor],MATCH(A179,proveedores[Código],0)))</f>
        <v/>
      </c>
      <c r="C179" s="14" t="str">
        <f>IF(A179="","",INDEX(proveedores[Material],MATCH(A179,proveedores[Código],0)))</f>
        <v/>
      </c>
      <c r="D179" s="15" t="str">
        <f>IF(A179="","",INDEX(proveedores[Perfil],MATCH(A179,proveedores[Código],0)))</f>
        <v/>
      </c>
      <c r="E179" s="15" t="str">
        <f>IF(A179="","",IFERROR(INDEX(proveedores[Nivel de criticidad],MATCH(A179,proveedores[Código],0)),""))</f>
        <v/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5">
        <f t="shared" si="10"/>
        <v>100</v>
      </c>
      <c r="V179" s="12" t="str">
        <f t="shared" si="11"/>
        <v>Clase A++</v>
      </c>
    </row>
    <row r="180" spans="1:22" x14ac:dyDescent="0.2">
      <c r="A180" s="13"/>
      <c r="B180" s="14" t="str">
        <f>IF(A180="","",INDEX(proveedores[Proveedor],MATCH(A180,proveedores[Código],0)))</f>
        <v/>
      </c>
      <c r="C180" s="14" t="str">
        <f>IF(A180="","",INDEX(proveedores[Material],MATCH(A180,proveedores[Código],0)))</f>
        <v/>
      </c>
      <c r="D180" s="15" t="str">
        <f>IF(A180="","",INDEX(proveedores[Perfil],MATCH(A180,proveedores[Código],0)))</f>
        <v/>
      </c>
      <c r="E180" s="15" t="str">
        <f>IF(A180="","",IFERROR(INDEX(proveedores[Nivel de criticidad],MATCH(A180,proveedores[Código],0)),""))</f>
        <v/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5">
        <f t="shared" si="10"/>
        <v>100</v>
      </c>
      <c r="V180" s="12" t="str">
        <f t="shared" si="11"/>
        <v>Clase A++</v>
      </c>
    </row>
    <row r="181" spans="1:22" x14ac:dyDescent="0.2">
      <c r="A181" s="13"/>
      <c r="B181" s="14" t="str">
        <f>IF(A181="","",INDEX(proveedores[Proveedor],MATCH(A181,proveedores[Código],0)))</f>
        <v/>
      </c>
      <c r="C181" s="14" t="str">
        <f>IF(A181="","",INDEX(proveedores[Material],MATCH(A181,proveedores[Código],0)))</f>
        <v/>
      </c>
      <c r="D181" s="15" t="str">
        <f>IF(A181="","",INDEX(proveedores[Perfil],MATCH(A181,proveedores[Código],0)))</f>
        <v/>
      </c>
      <c r="E181" s="15" t="str">
        <f>IF(A181="","",IFERROR(INDEX(proveedores[Nivel de criticidad],MATCH(A181,proveedores[Código],0)),""))</f>
        <v/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5">
        <f t="shared" si="10"/>
        <v>100</v>
      </c>
      <c r="V181" s="12" t="str">
        <f t="shared" si="11"/>
        <v>Clase A++</v>
      </c>
    </row>
    <row r="182" spans="1:22" x14ac:dyDescent="0.2">
      <c r="A182" s="13"/>
      <c r="B182" s="14" t="str">
        <f>IF(A182="","",INDEX(proveedores[Proveedor],MATCH(A182,proveedores[Código],0)))</f>
        <v/>
      </c>
      <c r="C182" s="14" t="str">
        <f>IF(A182="","",INDEX(proveedores[Material],MATCH(A182,proveedores[Código],0)))</f>
        <v/>
      </c>
      <c r="D182" s="15" t="str">
        <f>IF(A182="","",INDEX(proveedores[Perfil],MATCH(A182,proveedores[Código],0)))</f>
        <v/>
      </c>
      <c r="E182" s="15" t="str">
        <f>IF(A182="","",IFERROR(INDEX(proveedores[Nivel de criticidad],MATCH(A182,proveedores[Código],0)),""))</f>
        <v/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5">
        <f t="shared" si="10"/>
        <v>100</v>
      </c>
      <c r="V182" s="12" t="str">
        <f t="shared" si="11"/>
        <v>Clase A++</v>
      </c>
    </row>
    <row r="183" spans="1:22" x14ac:dyDescent="0.2">
      <c r="A183" s="13"/>
      <c r="B183" s="14" t="str">
        <f>IF(A183="","",INDEX(proveedores[Proveedor],MATCH(A183,proveedores[Código],0)))</f>
        <v/>
      </c>
      <c r="C183" s="14" t="str">
        <f>IF(A183="","",INDEX(proveedores[Material],MATCH(A183,proveedores[Código],0)))</f>
        <v/>
      </c>
      <c r="D183" s="15" t="str">
        <f>IF(A183="","",INDEX(proveedores[Perfil],MATCH(A183,proveedores[Código],0)))</f>
        <v/>
      </c>
      <c r="E183" s="15" t="str">
        <f>IF(A183="","",IFERROR(INDEX(proveedores[Nivel de criticidad],MATCH(A183,proveedores[Código],0)),""))</f>
        <v/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5">
        <f t="shared" si="10"/>
        <v>100</v>
      </c>
      <c r="V183" s="12" t="str">
        <f t="shared" si="11"/>
        <v>Clase A++</v>
      </c>
    </row>
    <row r="184" spans="1:22" x14ac:dyDescent="0.2">
      <c r="A184" s="13"/>
      <c r="B184" s="14" t="str">
        <f>IF(A184="","",INDEX(proveedores[Proveedor],MATCH(A184,proveedores[Código],0)))</f>
        <v/>
      </c>
      <c r="C184" s="14" t="str">
        <f>IF(A184="","",INDEX(proveedores[Material],MATCH(A184,proveedores[Código],0)))</f>
        <v/>
      </c>
      <c r="D184" s="15" t="str">
        <f>IF(A184="","",INDEX(proveedores[Perfil],MATCH(A184,proveedores[Código],0)))</f>
        <v/>
      </c>
      <c r="E184" s="15" t="str">
        <f>IF(A184="","",IFERROR(INDEX(proveedores[Nivel de criticidad],MATCH(A184,proveedores[Código],0)),""))</f>
        <v/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5">
        <f t="shared" si="10"/>
        <v>100</v>
      </c>
      <c r="V184" s="12" t="str">
        <f t="shared" si="11"/>
        <v>Clase A++</v>
      </c>
    </row>
    <row r="185" spans="1:22" x14ac:dyDescent="0.2">
      <c r="A185" s="13"/>
      <c r="B185" s="14" t="str">
        <f>IF(A185="","",INDEX(proveedores[Proveedor],MATCH(A185,proveedores[Código],0)))</f>
        <v/>
      </c>
      <c r="C185" s="14" t="str">
        <f>IF(A185="","",INDEX(proveedores[Material],MATCH(A185,proveedores[Código],0)))</f>
        <v/>
      </c>
      <c r="D185" s="15" t="str">
        <f>IF(A185="","",INDEX(proveedores[Perfil],MATCH(A185,proveedores[Código],0)))</f>
        <v/>
      </c>
      <c r="E185" s="15" t="str">
        <f>IF(A185="","",IFERROR(INDEX(proveedores[Nivel de criticidad],MATCH(A185,proveedores[Código],0)),""))</f>
        <v/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5">
        <f t="shared" si="10"/>
        <v>100</v>
      </c>
      <c r="V185" s="12" t="str">
        <f t="shared" si="11"/>
        <v>Clase A++</v>
      </c>
    </row>
    <row r="186" spans="1:22" x14ac:dyDescent="0.2">
      <c r="A186" s="13"/>
      <c r="B186" s="14" t="str">
        <f>IF(A186="","",INDEX(proveedores[Proveedor],MATCH(A186,proveedores[Código],0)))</f>
        <v/>
      </c>
      <c r="C186" s="14" t="str">
        <f>IF(A186="","",INDEX(proveedores[Material],MATCH(A186,proveedores[Código],0)))</f>
        <v/>
      </c>
      <c r="D186" s="15" t="str">
        <f>IF(A186="","",INDEX(proveedores[Perfil],MATCH(A186,proveedores[Código],0)))</f>
        <v/>
      </c>
      <c r="E186" s="15" t="str">
        <f>IF(A186="","",IFERROR(INDEX(proveedores[Nivel de criticidad],MATCH(A186,proveedores[Código],0)),""))</f>
        <v/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5">
        <f t="shared" si="10"/>
        <v>100</v>
      </c>
      <c r="V186" s="12" t="str">
        <f t="shared" si="11"/>
        <v>Clase A++</v>
      </c>
    </row>
    <row r="187" spans="1:22" x14ac:dyDescent="0.2">
      <c r="A187" s="13"/>
      <c r="B187" s="14" t="str">
        <f>IF(A187="","",INDEX(proveedores[Proveedor],MATCH(A187,proveedores[Código],0)))</f>
        <v/>
      </c>
      <c r="C187" s="14" t="str">
        <f>IF(A187="","",INDEX(proveedores[Material],MATCH(A187,proveedores[Código],0)))</f>
        <v/>
      </c>
      <c r="D187" s="15" t="str">
        <f>IF(A187="","",INDEX(proveedores[Perfil],MATCH(A187,proveedores[Código],0)))</f>
        <v/>
      </c>
      <c r="E187" s="15" t="str">
        <f>IF(A187="","",IFERROR(INDEX(proveedores[Nivel de criticidad],MATCH(A187,proveedores[Código],0)),""))</f>
        <v/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5">
        <f t="shared" si="10"/>
        <v>100</v>
      </c>
      <c r="V187" s="12" t="str">
        <f t="shared" si="11"/>
        <v>Clase A++</v>
      </c>
    </row>
    <row r="188" spans="1:22" x14ac:dyDescent="0.2">
      <c r="A188" s="13"/>
      <c r="B188" s="14" t="str">
        <f>IF(A188="","",INDEX(proveedores[Proveedor],MATCH(A188,proveedores[Código],0)))</f>
        <v/>
      </c>
      <c r="C188" s="14" t="str">
        <f>IF(A188="","",INDEX(proveedores[Material],MATCH(A188,proveedores[Código],0)))</f>
        <v/>
      </c>
      <c r="D188" s="15" t="str">
        <f>IF(A188="","",INDEX(proveedores[Perfil],MATCH(A188,proveedores[Código],0)))</f>
        <v/>
      </c>
      <c r="E188" s="15" t="str">
        <f>IF(A188="","",IFERROR(INDEX(proveedores[Nivel de criticidad],MATCH(A188,proveedores[Código],0)),""))</f>
        <v/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5">
        <f t="shared" si="10"/>
        <v>100</v>
      </c>
      <c r="V188" s="12" t="str">
        <f t="shared" si="11"/>
        <v>Clase A++</v>
      </c>
    </row>
    <row r="189" spans="1:22" x14ac:dyDescent="0.2">
      <c r="A189" s="13"/>
      <c r="B189" s="14" t="str">
        <f>IF(A189="","",INDEX(proveedores[Proveedor],MATCH(A189,proveedores[Código],0)))</f>
        <v/>
      </c>
      <c r="C189" s="14" t="str">
        <f>IF(A189="","",INDEX(proveedores[Material],MATCH(A189,proveedores[Código],0)))</f>
        <v/>
      </c>
      <c r="D189" s="15" t="str">
        <f>IF(A189="","",INDEX(proveedores[Perfil],MATCH(A189,proveedores[Código],0)))</f>
        <v/>
      </c>
      <c r="E189" s="15" t="str">
        <f>IF(A189="","",IFERROR(INDEX(proveedores[Nivel de criticidad],MATCH(A189,proveedores[Código],0)),""))</f>
        <v/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5">
        <f t="shared" si="10"/>
        <v>100</v>
      </c>
      <c r="V189" s="12" t="str">
        <f t="shared" si="11"/>
        <v>Clase A++</v>
      </c>
    </row>
    <row r="190" spans="1:22" x14ac:dyDescent="0.2">
      <c r="A190" s="13"/>
      <c r="B190" s="14" t="str">
        <f>IF(A190="","",INDEX(proveedores[Proveedor],MATCH(A190,proveedores[Código],0)))</f>
        <v/>
      </c>
      <c r="C190" s="14" t="str">
        <f>IF(A190="","",INDEX(proveedores[Material],MATCH(A190,proveedores[Código],0)))</f>
        <v/>
      </c>
      <c r="D190" s="15" t="str">
        <f>IF(A190="","",INDEX(proveedores[Perfil],MATCH(A190,proveedores[Código],0)))</f>
        <v/>
      </c>
      <c r="E190" s="15" t="str">
        <f>IF(A190="","",IFERROR(INDEX(proveedores[Nivel de criticidad],MATCH(A190,proveedores[Código],0)),""))</f>
        <v/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5">
        <f t="shared" si="10"/>
        <v>100</v>
      </c>
      <c r="V190" s="12" t="str">
        <f t="shared" si="11"/>
        <v>Clase A++</v>
      </c>
    </row>
    <row r="191" spans="1:22" x14ac:dyDescent="0.2">
      <c r="A191" s="13"/>
      <c r="B191" s="14" t="str">
        <f>IF(A191="","",INDEX(proveedores[Proveedor],MATCH(A191,proveedores[Código],0)))</f>
        <v/>
      </c>
      <c r="C191" s="14" t="str">
        <f>IF(A191="","",INDEX(proveedores[Material],MATCH(A191,proveedores[Código],0)))</f>
        <v/>
      </c>
      <c r="D191" s="15" t="str">
        <f>IF(A191="","",INDEX(proveedores[Perfil],MATCH(A191,proveedores[Código],0)))</f>
        <v/>
      </c>
      <c r="E191" s="15" t="str">
        <f>IF(A191="","",IFERROR(INDEX(proveedores[Nivel de criticidad],MATCH(A191,proveedores[Código],0)),""))</f>
        <v/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5">
        <f t="shared" si="10"/>
        <v>100</v>
      </c>
      <c r="V191" s="12" t="str">
        <f t="shared" si="11"/>
        <v>Clase A++</v>
      </c>
    </row>
    <row r="192" spans="1:22" x14ac:dyDescent="0.2">
      <c r="A192" s="13"/>
      <c r="B192" s="14" t="str">
        <f>IF(A192="","",INDEX(proveedores[Proveedor],MATCH(A192,proveedores[Código],0)))</f>
        <v/>
      </c>
      <c r="C192" s="14" t="str">
        <f>IF(A192="","",INDEX(proveedores[Material],MATCH(A192,proveedores[Código],0)))</f>
        <v/>
      </c>
      <c r="D192" s="15" t="str">
        <f>IF(A192="","",INDEX(proveedores[Perfil],MATCH(A192,proveedores[Código],0)))</f>
        <v/>
      </c>
      <c r="E192" s="15" t="str">
        <f>IF(A192="","",IFERROR(INDEX(proveedores[Nivel de criticidad],MATCH(A192,proveedores[Código],0)),""))</f>
        <v/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5">
        <f t="shared" si="10"/>
        <v>100</v>
      </c>
      <c r="V192" s="12" t="str">
        <f t="shared" si="11"/>
        <v>Clase A++</v>
      </c>
    </row>
    <row r="193" spans="1:22" x14ac:dyDescent="0.2">
      <c r="A193" s="13"/>
      <c r="B193" s="14" t="str">
        <f>IF(A193="","",INDEX(proveedores[Proveedor],MATCH(A193,proveedores[Código],0)))</f>
        <v/>
      </c>
      <c r="C193" s="14" t="str">
        <f>IF(A193="","",INDEX(proveedores[Material],MATCH(A193,proveedores[Código],0)))</f>
        <v/>
      </c>
      <c r="D193" s="15" t="str">
        <f>IF(A193="","",INDEX(proveedores[Perfil],MATCH(A193,proveedores[Código],0)))</f>
        <v/>
      </c>
      <c r="E193" s="15" t="str">
        <f>IF(A193="","",IFERROR(INDEX(proveedores[Nivel de criticidad],MATCH(A193,proveedores[Código],0)),""))</f>
        <v/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5">
        <f t="shared" si="10"/>
        <v>100</v>
      </c>
      <c r="V193" s="12" t="str">
        <f t="shared" si="11"/>
        <v>Clase A++</v>
      </c>
    </row>
    <row r="194" spans="1:22" x14ac:dyDescent="0.2">
      <c r="A194" s="13"/>
      <c r="B194" s="14" t="str">
        <f>IF(A194="","",INDEX(proveedores[Proveedor],MATCH(A194,proveedores[Código],0)))</f>
        <v/>
      </c>
      <c r="C194" s="14" t="str">
        <f>IF(A194="","",INDEX(proveedores[Material],MATCH(A194,proveedores[Código],0)))</f>
        <v/>
      </c>
      <c r="D194" s="15" t="str">
        <f>IF(A194="","",INDEX(proveedores[Perfil],MATCH(A194,proveedores[Código],0)))</f>
        <v/>
      </c>
      <c r="E194" s="15" t="str">
        <f>IF(A194="","",IFERROR(INDEX(proveedores[Nivel de criticidad],MATCH(A194,proveedores[Código],0)),""))</f>
        <v/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5">
        <f t="shared" si="10"/>
        <v>100</v>
      </c>
      <c r="V194" s="12" t="str">
        <f t="shared" si="11"/>
        <v>Clase A++</v>
      </c>
    </row>
    <row r="195" spans="1:22" x14ac:dyDescent="0.2">
      <c r="A195" s="13"/>
      <c r="B195" s="14" t="str">
        <f>IF(A195="","",INDEX(proveedores[Proveedor],MATCH(A195,proveedores[Código],0)))</f>
        <v/>
      </c>
      <c r="C195" s="14" t="str">
        <f>IF(A195="","",INDEX(proveedores[Material],MATCH(A195,proveedores[Código],0)))</f>
        <v/>
      </c>
      <c r="D195" s="15" t="str">
        <f>IF(A195="","",INDEX(proveedores[Perfil],MATCH(A195,proveedores[Código],0)))</f>
        <v/>
      </c>
      <c r="E195" s="15" t="str">
        <f>IF(A195="","",IFERROR(INDEX(proveedores[Nivel de criticidad],MATCH(A195,proveedores[Código],0)),""))</f>
        <v/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5">
        <f t="shared" si="10"/>
        <v>100</v>
      </c>
      <c r="V195" s="12" t="str">
        <f t="shared" si="11"/>
        <v>Clase A++</v>
      </c>
    </row>
    <row r="196" spans="1:22" x14ac:dyDescent="0.2">
      <c r="A196" s="13"/>
      <c r="B196" s="14" t="str">
        <f>IF(A196="","",INDEX(proveedores[Proveedor],MATCH(A196,proveedores[Código],0)))</f>
        <v/>
      </c>
      <c r="C196" s="14" t="str">
        <f>IF(A196="","",INDEX(proveedores[Material],MATCH(A196,proveedores[Código],0)))</f>
        <v/>
      </c>
      <c r="D196" s="15" t="str">
        <f>IF(A196="","",INDEX(proveedores[Perfil],MATCH(A196,proveedores[Código],0)))</f>
        <v/>
      </c>
      <c r="E196" s="15" t="str">
        <f>IF(A196="","",IFERROR(INDEX(proveedores[Nivel de criticidad],MATCH(A196,proveedores[Código],0)),""))</f>
        <v/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5">
        <f t="shared" si="10"/>
        <v>100</v>
      </c>
      <c r="V196" s="12" t="str">
        <f t="shared" si="11"/>
        <v>Clase A++</v>
      </c>
    </row>
    <row r="197" spans="1:22" x14ac:dyDescent="0.2">
      <c r="A197" s="13"/>
      <c r="B197" s="14" t="str">
        <f>IF(A197="","",INDEX(proveedores[Proveedor],MATCH(A197,proveedores[Código],0)))</f>
        <v/>
      </c>
      <c r="C197" s="14" t="str">
        <f>IF(A197="","",INDEX(proveedores[Material],MATCH(A197,proveedores[Código],0)))</f>
        <v/>
      </c>
      <c r="D197" s="15" t="str">
        <f>IF(A197="","",INDEX(proveedores[Perfil],MATCH(A197,proveedores[Código],0)))</f>
        <v/>
      </c>
      <c r="E197" s="15" t="str">
        <f>IF(A197="","",IFERROR(INDEX(proveedores[Nivel de criticidad],MATCH(A197,proveedores[Código],0)),""))</f>
        <v/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5">
        <f t="shared" si="10"/>
        <v>100</v>
      </c>
      <c r="V197" s="12" t="str">
        <f t="shared" si="11"/>
        <v>Clase A++</v>
      </c>
    </row>
    <row r="198" spans="1:22" x14ac:dyDescent="0.2">
      <c r="A198" s="13"/>
      <c r="B198" s="14" t="str">
        <f>IF(A198="","",INDEX(proveedores[Proveedor],MATCH(A198,proveedores[Código],0)))</f>
        <v/>
      </c>
      <c r="C198" s="14" t="str">
        <f>IF(A198="","",INDEX(proveedores[Material],MATCH(A198,proveedores[Código],0)))</f>
        <v/>
      </c>
      <c r="D198" s="15" t="str">
        <f>IF(A198="","",INDEX(proveedores[Perfil],MATCH(A198,proveedores[Código],0)))</f>
        <v/>
      </c>
      <c r="E198" s="15" t="str">
        <f>IF(A198="","",IFERROR(INDEX(proveedores[Nivel de criticidad],MATCH(A198,proveedores[Código],0)),""))</f>
        <v/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5">
        <f t="shared" ref="U198:U261" si="12">IF(D198="Internacional", MIN(IF(((F198*10)+(G198*3)+(H198*4)+(I198*5)+(J198*8)+(O198*5)+(P198*2)+IF(L198="N/A",0,(L198*10)+(M198*5)+(N198*3)))&gt;0,98,100), ((MAX(0, 30 - (F198*10) - (G198*3))/30)*45) + ((MAX(0, 25 - (H198*4) - (I198*5) - (J198*8) - (K198*5))/25)*35) + ((MAX(0, 15 - (O198*5) - (P198*2))/15)*20) + (IF(Q198="N/A",0,Q198)*2.5) + (IF(R198="N/A",0,R198)*2.5) + (IF(S198="N/A",0,S198)*2.5) + (IF(T198="N/A",0,T198)*2.5)), IF(D198="Local Insumos", MIN(IF(((F198*10)+(G198*3)+(H198*4)+(I198*5)+(J198*8)+(O198*5)+(P198*2)+IF(L198="N/A",0,(L198*10)+(M198*5)+(N198*3)))&gt;0,98,100), ((MAX(0, 30 - (F198*10) - (G198*3))/30)*35) + ((MAX(0, 25 - (H198*4) - (I198*5) - (J198*8) - (K198*5))/25)*30) + MAX(0, 20 - (L198*10) - (M198*5) - (N198*3)) + MAX(0, 15 - (O198*5) - (P198*2)) + (IF(Q198="N/A",0,Q198)*2.5) + (IF(R198="N/A",0,R198)*2.5) + (IF(S198="N/A",0,S198)*2.5) + (IF(T198="N/A",0,T198)*2.5)), MIN(IF(((F198*10)+(G198*3)+(H198*4)+(I198*5)+(J198*8)+(O198*5)+(P198*2)+IF(L198="N/A",0,(L198*10)+(M198*5)+(N198*3)))&gt;0,98,100), ((MAX(0, 25 - (H198*4) - (I198*5) - (J198*8) - (K198*5))/25)*55) + ((MAX(0, 20 - (L198*10) - (M198*5) - (N198*3))/20)*30) + ((MAX(0, 15 - (O198*5) - (P198*2))/15)*15))))</f>
        <v>100</v>
      </c>
      <c r="V198" s="12" t="str">
        <f t="shared" si="11"/>
        <v>Clase A++</v>
      </c>
    </row>
    <row r="199" spans="1:22" x14ac:dyDescent="0.2">
      <c r="A199" s="13"/>
      <c r="B199" s="14" t="str">
        <f>IF(A199="","",INDEX(proveedores[Proveedor],MATCH(A199,proveedores[Código],0)))</f>
        <v/>
      </c>
      <c r="C199" s="14" t="str">
        <f>IF(A199="","",INDEX(proveedores[Material],MATCH(A199,proveedores[Código],0)))</f>
        <v/>
      </c>
      <c r="D199" s="15" t="str">
        <f>IF(A199="","",INDEX(proveedores[Perfil],MATCH(A199,proveedores[Código],0)))</f>
        <v/>
      </c>
      <c r="E199" s="15" t="str">
        <f>IF(A199="","",IFERROR(INDEX(proveedores[Nivel de criticidad],MATCH(A199,proveedores[Código],0)),""))</f>
        <v/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5">
        <f t="shared" si="12"/>
        <v>100</v>
      </c>
      <c r="V199" s="12" t="str">
        <f t="shared" ref="V199:V262" si="13">IF(U199&gt;=96, "Clase A++", IF(U199&gt;=85, "Clase A", IF(U199&gt;=70, "Clase B", "Clase C")))</f>
        <v>Clase A++</v>
      </c>
    </row>
    <row r="200" spans="1:22" x14ac:dyDescent="0.2">
      <c r="A200" s="13"/>
      <c r="B200" s="14" t="str">
        <f>IF(A200="","",INDEX(proveedores[Proveedor],MATCH(A200,proveedores[Código],0)))</f>
        <v/>
      </c>
      <c r="C200" s="14" t="str">
        <f>IF(A200="","",INDEX(proveedores[Material],MATCH(A200,proveedores[Código],0)))</f>
        <v/>
      </c>
      <c r="D200" s="15" t="str">
        <f>IF(A200="","",INDEX(proveedores[Perfil],MATCH(A200,proveedores[Código],0)))</f>
        <v/>
      </c>
      <c r="E200" s="15" t="str">
        <f>IF(A200="","",IFERROR(INDEX(proveedores[Nivel de criticidad],MATCH(A200,proveedores[Código],0)),""))</f>
        <v/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5">
        <f t="shared" si="12"/>
        <v>100</v>
      </c>
      <c r="V200" s="12" t="str">
        <f t="shared" si="13"/>
        <v>Clase A++</v>
      </c>
    </row>
    <row r="201" spans="1:22" x14ac:dyDescent="0.2">
      <c r="A201" s="13"/>
      <c r="B201" s="14" t="str">
        <f>IF(A201="","",INDEX(proveedores[Proveedor],MATCH(A201,proveedores[Código],0)))</f>
        <v/>
      </c>
      <c r="C201" s="14" t="str">
        <f>IF(A201="","",INDEX(proveedores[Material],MATCH(A201,proveedores[Código],0)))</f>
        <v/>
      </c>
      <c r="D201" s="15" t="str">
        <f>IF(A201="","",INDEX(proveedores[Perfil],MATCH(A201,proveedores[Código],0)))</f>
        <v/>
      </c>
      <c r="E201" s="15" t="str">
        <f>IF(A201="","",IFERROR(INDEX(proveedores[Nivel de criticidad],MATCH(A201,proveedores[Código],0)),""))</f>
        <v/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5">
        <f t="shared" si="12"/>
        <v>100</v>
      </c>
      <c r="V201" s="12" t="str">
        <f t="shared" si="13"/>
        <v>Clase A++</v>
      </c>
    </row>
    <row r="202" spans="1:22" x14ac:dyDescent="0.2">
      <c r="A202" s="13"/>
      <c r="B202" s="14" t="str">
        <f>IF(A202="","",INDEX(proveedores[Proveedor],MATCH(A202,proveedores[Código],0)))</f>
        <v/>
      </c>
      <c r="C202" s="14" t="str">
        <f>IF(A202="","",INDEX(proveedores[Material],MATCH(A202,proveedores[Código],0)))</f>
        <v/>
      </c>
      <c r="D202" s="15" t="str">
        <f>IF(A202="","",INDEX(proveedores[Perfil],MATCH(A202,proveedores[Código],0)))</f>
        <v/>
      </c>
      <c r="E202" s="15" t="str">
        <f>IF(A202="","",IFERROR(INDEX(proveedores[Nivel de criticidad],MATCH(A202,proveedores[Código],0)),""))</f>
        <v/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5">
        <f t="shared" si="12"/>
        <v>100</v>
      </c>
      <c r="V202" s="12" t="str">
        <f t="shared" si="13"/>
        <v>Clase A++</v>
      </c>
    </row>
    <row r="203" spans="1:22" x14ac:dyDescent="0.2">
      <c r="A203" s="13"/>
      <c r="B203" s="14" t="str">
        <f>IF(A203="","",INDEX(proveedores[Proveedor],MATCH(A203,proveedores[Código],0)))</f>
        <v/>
      </c>
      <c r="C203" s="14" t="str">
        <f>IF(A203="","",INDEX(proveedores[Material],MATCH(A203,proveedores[Código],0)))</f>
        <v/>
      </c>
      <c r="D203" s="15" t="str">
        <f>IF(A203="","",INDEX(proveedores[Perfil],MATCH(A203,proveedores[Código],0)))</f>
        <v/>
      </c>
      <c r="E203" s="15" t="str">
        <f>IF(A203="","",IFERROR(INDEX(proveedores[Nivel de criticidad],MATCH(A203,proveedores[Código],0)),""))</f>
        <v/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5">
        <f t="shared" si="12"/>
        <v>100</v>
      </c>
      <c r="V203" s="12" t="str">
        <f t="shared" si="13"/>
        <v>Clase A++</v>
      </c>
    </row>
    <row r="204" spans="1:22" x14ac:dyDescent="0.2">
      <c r="A204" s="13"/>
      <c r="B204" s="14" t="str">
        <f>IF(A204="","",INDEX(proveedores[Proveedor],MATCH(A204,proveedores[Código],0)))</f>
        <v/>
      </c>
      <c r="C204" s="14" t="str">
        <f>IF(A204="","",INDEX(proveedores[Material],MATCH(A204,proveedores[Código],0)))</f>
        <v/>
      </c>
      <c r="D204" s="15" t="str">
        <f>IF(A204="","",INDEX(proveedores[Perfil],MATCH(A204,proveedores[Código],0)))</f>
        <v/>
      </c>
      <c r="E204" s="15" t="str">
        <f>IF(A204="","",IFERROR(INDEX(proveedores[Nivel de criticidad],MATCH(A204,proveedores[Código],0)),""))</f>
        <v/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5">
        <f t="shared" si="12"/>
        <v>100</v>
      </c>
      <c r="V204" s="12" t="str">
        <f t="shared" si="13"/>
        <v>Clase A++</v>
      </c>
    </row>
    <row r="205" spans="1:22" x14ac:dyDescent="0.2">
      <c r="A205" s="13"/>
      <c r="B205" s="14" t="str">
        <f>IF(A205="","",INDEX(proveedores[Proveedor],MATCH(A205,proveedores[Código],0)))</f>
        <v/>
      </c>
      <c r="C205" s="14" t="str">
        <f>IF(A205="","",INDEX(proveedores[Material],MATCH(A205,proveedores[Código],0)))</f>
        <v/>
      </c>
      <c r="D205" s="15" t="str">
        <f>IF(A205="","",INDEX(proveedores[Perfil],MATCH(A205,proveedores[Código],0)))</f>
        <v/>
      </c>
      <c r="E205" s="15" t="str">
        <f>IF(A205="","",IFERROR(INDEX(proveedores[Nivel de criticidad],MATCH(A205,proveedores[Código],0)),""))</f>
        <v/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5">
        <f t="shared" si="12"/>
        <v>100</v>
      </c>
      <c r="V205" s="12" t="str">
        <f t="shared" si="13"/>
        <v>Clase A++</v>
      </c>
    </row>
    <row r="206" spans="1:22" x14ac:dyDescent="0.2">
      <c r="A206" s="13"/>
      <c r="B206" s="14" t="str">
        <f>IF(A206="","",INDEX(proveedores[Proveedor],MATCH(A206,proveedores[Código],0)))</f>
        <v/>
      </c>
      <c r="C206" s="14" t="str">
        <f>IF(A206="","",INDEX(proveedores[Material],MATCH(A206,proveedores[Código],0)))</f>
        <v/>
      </c>
      <c r="D206" s="15" t="str">
        <f>IF(A206="","",INDEX(proveedores[Perfil],MATCH(A206,proveedores[Código],0)))</f>
        <v/>
      </c>
      <c r="E206" s="15" t="str">
        <f>IF(A206="","",IFERROR(INDEX(proveedores[Nivel de criticidad],MATCH(A206,proveedores[Código],0)),""))</f>
        <v/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5">
        <f t="shared" si="12"/>
        <v>100</v>
      </c>
      <c r="V206" s="12" t="str">
        <f t="shared" si="13"/>
        <v>Clase A++</v>
      </c>
    </row>
    <row r="207" spans="1:22" x14ac:dyDescent="0.2">
      <c r="A207" s="13"/>
      <c r="B207" s="14" t="str">
        <f>IF(A207="","",INDEX(proveedores[Proveedor],MATCH(A207,proveedores[Código],0)))</f>
        <v/>
      </c>
      <c r="C207" s="14" t="str">
        <f>IF(A207="","",INDEX(proveedores[Material],MATCH(A207,proveedores[Código],0)))</f>
        <v/>
      </c>
      <c r="D207" s="15" t="str">
        <f>IF(A207="","",INDEX(proveedores[Perfil],MATCH(A207,proveedores[Código],0)))</f>
        <v/>
      </c>
      <c r="E207" s="15" t="str">
        <f>IF(A207="","",IFERROR(INDEX(proveedores[Nivel de criticidad],MATCH(A207,proveedores[Código],0)),""))</f>
        <v/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5">
        <f t="shared" si="12"/>
        <v>100</v>
      </c>
      <c r="V207" s="12" t="str">
        <f t="shared" si="13"/>
        <v>Clase A++</v>
      </c>
    </row>
    <row r="208" spans="1:22" x14ac:dyDescent="0.2">
      <c r="A208" s="13"/>
      <c r="B208" s="14" t="str">
        <f>IF(A208="","",INDEX(proveedores[Proveedor],MATCH(A208,proveedores[Código],0)))</f>
        <v/>
      </c>
      <c r="C208" s="14" t="str">
        <f>IF(A208="","",INDEX(proveedores[Material],MATCH(A208,proveedores[Código],0)))</f>
        <v/>
      </c>
      <c r="D208" s="15" t="str">
        <f>IF(A208="","",INDEX(proveedores[Perfil],MATCH(A208,proveedores[Código],0)))</f>
        <v/>
      </c>
      <c r="E208" s="15" t="str">
        <f>IF(A208="","",IFERROR(INDEX(proveedores[Nivel de criticidad],MATCH(A208,proveedores[Código],0)),""))</f>
        <v/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5">
        <f t="shared" si="12"/>
        <v>100</v>
      </c>
      <c r="V208" s="12" t="str">
        <f t="shared" si="13"/>
        <v>Clase A++</v>
      </c>
    </row>
    <row r="209" spans="1:22" x14ac:dyDescent="0.2">
      <c r="A209" s="13"/>
      <c r="B209" s="14" t="str">
        <f>IF(A209="","",INDEX(proveedores[Proveedor],MATCH(A209,proveedores[Código],0)))</f>
        <v/>
      </c>
      <c r="C209" s="14" t="str">
        <f>IF(A209="","",INDEX(proveedores[Material],MATCH(A209,proveedores[Código],0)))</f>
        <v/>
      </c>
      <c r="D209" s="15" t="str">
        <f>IF(A209="","",INDEX(proveedores[Perfil],MATCH(A209,proveedores[Código],0)))</f>
        <v/>
      </c>
      <c r="E209" s="15" t="str">
        <f>IF(A209="","",IFERROR(INDEX(proveedores[Nivel de criticidad],MATCH(A209,proveedores[Código],0)),""))</f>
        <v/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5">
        <f t="shared" si="12"/>
        <v>100</v>
      </c>
      <c r="V209" s="12" t="str">
        <f t="shared" si="13"/>
        <v>Clase A++</v>
      </c>
    </row>
    <row r="210" spans="1:22" x14ac:dyDescent="0.2">
      <c r="A210" s="13"/>
      <c r="B210" s="14" t="str">
        <f>IF(A210="","",INDEX(proveedores[Proveedor],MATCH(A210,proveedores[Código],0)))</f>
        <v/>
      </c>
      <c r="C210" s="14" t="str">
        <f>IF(A210="","",INDEX(proveedores[Material],MATCH(A210,proveedores[Código],0)))</f>
        <v/>
      </c>
      <c r="D210" s="15" t="str">
        <f>IF(A210="","",INDEX(proveedores[Perfil],MATCH(A210,proveedores[Código],0)))</f>
        <v/>
      </c>
      <c r="E210" s="15" t="str">
        <f>IF(A210="","",IFERROR(INDEX(proveedores[Nivel de criticidad],MATCH(A210,proveedores[Código],0)),""))</f>
        <v/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5">
        <f t="shared" si="12"/>
        <v>100</v>
      </c>
      <c r="V210" s="12" t="str">
        <f t="shared" si="13"/>
        <v>Clase A++</v>
      </c>
    </row>
    <row r="211" spans="1:22" x14ac:dyDescent="0.2">
      <c r="A211" s="13"/>
      <c r="B211" s="14" t="str">
        <f>IF(A211="","",INDEX(proveedores[Proveedor],MATCH(A211,proveedores[Código],0)))</f>
        <v/>
      </c>
      <c r="C211" s="14" t="str">
        <f>IF(A211="","",INDEX(proveedores[Material],MATCH(A211,proveedores[Código],0)))</f>
        <v/>
      </c>
      <c r="D211" s="15" t="str">
        <f>IF(A211="","",INDEX(proveedores[Perfil],MATCH(A211,proveedores[Código],0)))</f>
        <v/>
      </c>
      <c r="E211" s="15" t="str">
        <f>IF(A211="","",IFERROR(INDEX(proveedores[Nivel de criticidad],MATCH(A211,proveedores[Código],0)),""))</f>
        <v/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5">
        <f t="shared" si="12"/>
        <v>100</v>
      </c>
      <c r="V211" s="12" t="str">
        <f t="shared" si="13"/>
        <v>Clase A++</v>
      </c>
    </row>
    <row r="212" spans="1:22" x14ac:dyDescent="0.2">
      <c r="A212" s="13"/>
      <c r="B212" s="14" t="str">
        <f>IF(A212="","",INDEX(proveedores[Proveedor],MATCH(A212,proveedores[Código],0)))</f>
        <v/>
      </c>
      <c r="C212" s="14" t="str">
        <f>IF(A212="","",INDEX(proveedores[Material],MATCH(A212,proveedores[Código],0)))</f>
        <v/>
      </c>
      <c r="D212" s="15" t="str">
        <f>IF(A212="","",INDEX(proveedores[Perfil],MATCH(A212,proveedores[Código],0)))</f>
        <v/>
      </c>
      <c r="E212" s="15" t="str">
        <f>IF(A212="","",IFERROR(INDEX(proveedores[Nivel de criticidad],MATCH(A212,proveedores[Código],0)),""))</f>
        <v/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5">
        <f t="shared" si="12"/>
        <v>100</v>
      </c>
      <c r="V212" s="12" t="str">
        <f t="shared" si="13"/>
        <v>Clase A++</v>
      </c>
    </row>
    <row r="213" spans="1:22" x14ac:dyDescent="0.2">
      <c r="A213" s="13"/>
      <c r="B213" s="14" t="str">
        <f>IF(A213="","",INDEX(proveedores[Proveedor],MATCH(A213,proveedores[Código],0)))</f>
        <v/>
      </c>
      <c r="C213" s="14" t="str">
        <f>IF(A213="","",INDEX(proveedores[Material],MATCH(A213,proveedores[Código],0)))</f>
        <v/>
      </c>
      <c r="D213" s="15" t="str">
        <f>IF(A213="","",INDEX(proveedores[Perfil],MATCH(A213,proveedores[Código],0)))</f>
        <v/>
      </c>
      <c r="E213" s="15" t="str">
        <f>IF(A213="","",IFERROR(INDEX(proveedores[Nivel de criticidad],MATCH(A213,proveedores[Código],0)),""))</f>
        <v/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5">
        <f t="shared" si="12"/>
        <v>100</v>
      </c>
      <c r="V213" s="12" t="str">
        <f t="shared" si="13"/>
        <v>Clase A++</v>
      </c>
    </row>
    <row r="214" spans="1:22" x14ac:dyDescent="0.2">
      <c r="A214" s="13"/>
      <c r="B214" s="14" t="str">
        <f>IF(A214="","",INDEX(proveedores[Proveedor],MATCH(A214,proveedores[Código],0)))</f>
        <v/>
      </c>
      <c r="C214" s="14" t="str">
        <f>IF(A214="","",INDEX(proveedores[Material],MATCH(A214,proveedores[Código],0)))</f>
        <v/>
      </c>
      <c r="D214" s="15" t="str">
        <f>IF(A214="","",INDEX(proveedores[Perfil],MATCH(A214,proveedores[Código],0)))</f>
        <v/>
      </c>
      <c r="E214" s="15" t="str">
        <f>IF(A214="","",IFERROR(INDEX(proveedores[Nivel de criticidad],MATCH(A214,proveedores[Código],0)),""))</f>
        <v/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5">
        <f t="shared" si="12"/>
        <v>100</v>
      </c>
      <c r="V214" s="12" t="str">
        <f t="shared" si="13"/>
        <v>Clase A++</v>
      </c>
    </row>
    <row r="215" spans="1:22" x14ac:dyDescent="0.2">
      <c r="A215" s="13"/>
      <c r="B215" s="14" t="str">
        <f>IF(A215="","",INDEX(proveedores[Proveedor],MATCH(A215,proveedores[Código],0)))</f>
        <v/>
      </c>
      <c r="C215" s="14" t="str">
        <f>IF(A215="","",INDEX(proveedores[Material],MATCH(A215,proveedores[Código],0)))</f>
        <v/>
      </c>
      <c r="D215" s="15" t="str">
        <f>IF(A215="","",INDEX(proveedores[Perfil],MATCH(A215,proveedores[Código],0)))</f>
        <v/>
      </c>
      <c r="E215" s="15" t="str">
        <f>IF(A215="","",IFERROR(INDEX(proveedores[Nivel de criticidad],MATCH(A215,proveedores[Código],0)),""))</f>
        <v/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5">
        <f t="shared" si="12"/>
        <v>100</v>
      </c>
      <c r="V215" s="12" t="str">
        <f t="shared" si="13"/>
        <v>Clase A++</v>
      </c>
    </row>
    <row r="216" spans="1:22" x14ac:dyDescent="0.2">
      <c r="A216" s="13"/>
      <c r="B216" s="14" t="str">
        <f>IF(A216="","",INDEX(proveedores[Proveedor],MATCH(A216,proveedores[Código],0)))</f>
        <v/>
      </c>
      <c r="C216" s="14" t="str">
        <f>IF(A216="","",INDEX(proveedores[Material],MATCH(A216,proveedores[Código],0)))</f>
        <v/>
      </c>
      <c r="D216" s="15" t="str">
        <f>IF(A216="","",INDEX(proveedores[Perfil],MATCH(A216,proveedores[Código],0)))</f>
        <v/>
      </c>
      <c r="E216" s="15" t="str">
        <f>IF(A216="","",IFERROR(INDEX(proveedores[Nivel de criticidad],MATCH(A216,proveedores[Código],0)),""))</f>
        <v/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5">
        <f t="shared" si="12"/>
        <v>100</v>
      </c>
      <c r="V216" s="12" t="str">
        <f t="shared" si="13"/>
        <v>Clase A++</v>
      </c>
    </row>
    <row r="217" spans="1:22" x14ac:dyDescent="0.2">
      <c r="A217" s="13"/>
      <c r="B217" s="14" t="str">
        <f>IF(A217="","",INDEX(proveedores[Proveedor],MATCH(A217,proveedores[Código],0)))</f>
        <v/>
      </c>
      <c r="C217" s="14" t="str">
        <f>IF(A217="","",INDEX(proveedores[Material],MATCH(A217,proveedores[Código],0)))</f>
        <v/>
      </c>
      <c r="D217" s="15" t="str">
        <f>IF(A217="","",INDEX(proveedores[Perfil],MATCH(A217,proveedores[Código],0)))</f>
        <v/>
      </c>
      <c r="E217" s="15" t="str">
        <f>IF(A217="","",IFERROR(INDEX(proveedores[Nivel de criticidad],MATCH(A217,proveedores[Código],0)),""))</f>
        <v/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5">
        <f t="shared" si="12"/>
        <v>100</v>
      </c>
      <c r="V217" s="12" t="str">
        <f t="shared" si="13"/>
        <v>Clase A++</v>
      </c>
    </row>
    <row r="218" spans="1:22" x14ac:dyDescent="0.2">
      <c r="A218" s="13"/>
      <c r="B218" s="14" t="str">
        <f>IF(A218="","",INDEX(proveedores[Proveedor],MATCH(A218,proveedores[Código],0)))</f>
        <v/>
      </c>
      <c r="C218" s="14" t="str">
        <f>IF(A218="","",INDEX(proveedores[Material],MATCH(A218,proveedores[Código],0)))</f>
        <v/>
      </c>
      <c r="D218" s="15" t="str">
        <f>IF(A218="","",INDEX(proveedores[Perfil],MATCH(A218,proveedores[Código],0)))</f>
        <v/>
      </c>
      <c r="E218" s="15" t="str">
        <f>IF(A218="","",IFERROR(INDEX(proveedores[Nivel de criticidad],MATCH(A218,proveedores[Código],0)),""))</f>
        <v/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5">
        <f t="shared" si="12"/>
        <v>100</v>
      </c>
      <c r="V218" s="12" t="str">
        <f t="shared" si="13"/>
        <v>Clase A++</v>
      </c>
    </row>
    <row r="219" spans="1:22" x14ac:dyDescent="0.2">
      <c r="A219" s="13"/>
      <c r="B219" s="14" t="str">
        <f>IF(A219="","",INDEX(proveedores[Proveedor],MATCH(A219,proveedores[Código],0)))</f>
        <v/>
      </c>
      <c r="C219" s="14" t="str">
        <f>IF(A219="","",INDEX(proveedores[Material],MATCH(A219,proveedores[Código],0)))</f>
        <v/>
      </c>
      <c r="D219" s="15" t="str">
        <f>IF(A219="","",INDEX(proveedores[Perfil],MATCH(A219,proveedores[Código],0)))</f>
        <v/>
      </c>
      <c r="E219" s="15" t="str">
        <f>IF(A219="","",IFERROR(INDEX(proveedores[Nivel de criticidad],MATCH(A219,proveedores[Código],0)),""))</f>
        <v/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5">
        <f t="shared" si="12"/>
        <v>100</v>
      </c>
      <c r="V219" s="12" t="str">
        <f t="shared" si="13"/>
        <v>Clase A++</v>
      </c>
    </row>
    <row r="220" spans="1:22" x14ac:dyDescent="0.2">
      <c r="A220" s="13"/>
      <c r="B220" s="14" t="str">
        <f>IF(A220="","",INDEX(proveedores[Proveedor],MATCH(A220,proveedores[Código],0)))</f>
        <v/>
      </c>
      <c r="C220" s="14" t="str">
        <f>IF(A220="","",INDEX(proveedores[Material],MATCH(A220,proveedores[Código],0)))</f>
        <v/>
      </c>
      <c r="D220" s="15" t="str">
        <f>IF(A220="","",INDEX(proveedores[Perfil],MATCH(A220,proveedores[Código],0)))</f>
        <v/>
      </c>
      <c r="E220" s="15" t="str">
        <f>IF(A220="","",IFERROR(INDEX(proveedores[Nivel de criticidad],MATCH(A220,proveedores[Código],0)),""))</f>
        <v/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5">
        <f t="shared" si="12"/>
        <v>100</v>
      </c>
      <c r="V220" s="12" t="str">
        <f t="shared" si="13"/>
        <v>Clase A++</v>
      </c>
    </row>
    <row r="221" spans="1:22" x14ac:dyDescent="0.2">
      <c r="A221" s="13"/>
      <c r="B221" s="14" t="str">
        <f>IF(A221="","",INDEX(proveedores[Proveedor],MATCH(A221,proveedores[Código],0)))</f>
        <v/>
      </c>
      <c r="C221" s="14" t="str">
        <f>IF(A221="","",INDEX(proveedores[Material],MATCH(A221,proveedores[Código],0)))</f>
        <v/>
      </c>
      <c r="D221" s="15" t="str">
        <f>IF(A221="","",INDEX(proveedores[Perfil],MATCH(A221,proveedores[Código],0)))</f>
        <v/>
      </c>
      <c r="E221" s="15" t="str">
        <f>IF(A221="","",IFERROR(INDEX(proveedores[Nivel de criticidad],MATCH(A221,proveedores[Código],0)),""))</f>
        <v/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5">
        <f t="shared" si="12"/>
        <v>100</v>
      </c>
      <c r="V221" s="12" t="str">
        <f t="shared" si="13"/>
        <v>Clase A++</v>
      </c>
    </row>
    <row r="222" spans="1:22" x14ac:dyDescent="0.2">
      <c r="A222" s="13"/>
      <c r="B222" s="14" t="str">
        <f>IF(A222="","",INDEX(proveedores[Proveedor],MATCH(A222,proveedores[Código],0)))</f>
        <v/>
      </c>
      <c r="C222" s="14" t="str">
        <f>IF(A222="","",INDEX(proveedores[Material],MATCH(A222,proveedores[Código],0)))</f>
        <v/>
      </c>
      <c r="D222" s="15" t="str">
        <f>IF(A222="","",INDEX(proveedores[Perfil],MATCH(A222,proveedores[Código],0)))</f>
        <v/>
      </c>
      <c r="E222" s="15" t="str">
        <f>IF(A222="","",IFERROR(INDEX(proveedores[Nivel de criticidad],MATCH(A222,proveedores[Código],0)),""))</f>
        <v/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5">
        <f t="shared" si="12"/>
        <v>100</v>
      </c>
      <c r="V222" s="12" t="str">
        <f t="shared" si="13"/>
        <v>Clase A++</v>
      </c>
    </row>
    <row r="223" spans="1:22" x14ac:dyDescent="0.2">
      <c r="A223" s="13"/>
      <c r="B223" s="14" t="str">
        <f>IF(A223="","",INDEX(proveedores[Proveedor],MATCH(A223,proveedores[Código],0)))</f>
        <v/>
      </c>
      <c r="C223" s="14" t="str">
        <f>IF(A223="","",INDEX(proveedores[Material],MATCH(A223,proveedores[Código],0)))</f>
        <v/>
      </c>
      <c r="D223" s="15" t="str">
        <f>IF(A223="","",INDEX(proveedores[Perfil],MATCH(A223,proveedores[Código],0)))</f>
        <v/>
      </c>
      <c r="E223" s="15" t="str">
        <f>IF(A223="","",IFERROR(INDEX(proveedores[Nivel de criticidad],MATCH(A223,proveedores[Código],0)),""))</f>
        <v/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5">
        <f t="shared" si="12"/>
        <v>100</v>
      </c>
      <c r="V223" s="12" t="str">
        <f t="shared" si="13"/>
        <v>Clase A++</v>
      </c>
    </row>
    <row r="224" spans="1:22" x14ac:dyDescent="0.2">
      <c r="A224" s="13"/>
      <c r="B224" s="14" t="str">
        <f>IF(A224="","",INDEX(proveedores[Proveedor],MATCH(A224,proveedores[Código],0)))</f>
        <v/>
      </c>
      <c r="C224" s="14" t="str">
        <f>IF(A224="","",INDEX(proveedores[Material],MATCH(A224,proveedores[Código],0)))</f>
        <v/>
      </c>
      <c r="D224" s="15" t="str">
        <f>IF(A224="","",INDEX(proveedores[Perfil],MATCH(A224,proveedores[Código],0)))</f>
        <v/>
      </c>
      <c r="E224" s="15" t="str">
        <f>IF(A224="","",IFERROR(INDEX(proveedores[Nivel de criticidad],MATCH(A224,proveedores[Código],0)),""))</f>
        <v/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5">
        <f t="shared" si="12"/>
        <v>100</v>
      </c>
      <c r="V224" s="12" t="str">
        <f t="shared" si="13"/>
        <v>Clase A++</v>
      </c>
    </row>
    <row r="225" spans="1:22" x14ac:dyDescent="0.2">
      <c r="A225" s="13"/>
      <c r="B225" s="14" t="str">
        <f>IF(A225="","",INDEX(proveedores[Proveedor],MATCH(A225,proveedores[Código],0)))</f>
        <v/>
      </c>
      <c r="C225" s="14" t="str">
        <f>IF(A225="","",INDEX(proveedores[Material],MATCH(A225,proveedores[Código],0)))</f>
        <v/>
      </c>
      <c r="D225" s="15" t="str">
        <f>IF(A225="","",INDEX(proveedores[Perfil],MATCH(A225,proveedores[Código],0)))</f>
        <v/>
      </c>
      <c r="E225" s="15" t="str">
        <f>IF(A225="","",IFERROR(INDEX(proveedores[Nivel de criticidad],MATCH(A225,proveedores[Código],0)),""))</f>
        <v/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5">
        <f t="shared" si="12"/>
        <v>100</v>
      </c>
      <c r="V225" s="12" t="str">
        <f t="shared" si="13"/>
        <v>Clase A++</v>
      </c>
    </row>
    <row r="226" spans="1:22" x14ac:dyDescent="0.2">
      <c r="A226" s="13"/>
      <c r="B226" s="14" t="str">
        <f>IF(A226="","",INDEX(proveedores[Proveedor],MATCH(A226,proveedores[Código],0)))</f>
        <v/>
      </c>
      <c r="C226" s="14" t="str">
        <f>IF(A226="","",INDEX(proveedores[Material],MATCH(A226,proveedores[Código],0)))</f>
        <v/>
      </c>
      <c r="D226" s="15" t="str">
        <f>IF(A226="","",INDEX(proveedores[Perfil],MATCH(A226,proveedores[Código],0)))</f>
        <v/>
      </c>
      <c r="E226" s="15" t="str">
        <f>IF(A226="","",IFERROR(INDEX(proveedores[Nivel de criticidad],MATCH(A226,proveedores[Código],0)),""))</f>
        <v/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5">
        <f t="shared" si="12"/>
        <v>100</v>
      </c>
      <c r="V226" s="12" t="str">
        <f t="shared" si="13"/>
        <v>Clase A++</v>
      </c>
    </row>
    <row r="227" spans="1:22" x14ac:dyDescent="0.2">
      <c r="A227" s="13"/>
      <c r="B227" s="14" t="str">
        <f>IF(A227="","",INDEX(proveedores[Proveedor],MATCH(A227,proveedores[Código],0)))</f>
        <v/>
      </c>
      <c r="C227" s="14" t="str">
        <f>IF(A227="","",INDEX(proveedores[Material],MATCH(A227,proveedores[Código],0)))</f>
        <v/>
      </c>
      <c r="D227" s="15" t="str">
        <f>IF(A227="","",INDEX(proveedores[Perfil],MATCH(A227,proveedores[Código],0)))</f>
        <v/>
      </c>
      <c r="E227" s="15" t="str">
        <f>IF(A227="","",IFERROR(INDEX(proveedores[Nivel de criticidad],MATCH(A227,proveedores[Código],0)),""))</f>
        <v/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5">
        <f t="shared" si="12"/>
        <v>100</v>
      </c>
      <c r="V227" s="12" t="str">
        <f t="shared" si="13"/>
        <v>Clase A++</v>
      </c>
    </row>
    <row r="228" spans="1:22" x14ac:dyDescent="0.2">
      <c r="A228" s="13"/>
      <c r="B228" s="14" t="str">
        <f>IF(A228="","",INDEX(proveedores[Proveedor],MATCH(A228,proveedores[Código],0)))</f>
        <v/>
      </c>
      <c r="C228" s="14" t="str">
        <f>IF(A228="","",INDEX(proveedores[Material],MATCH(A228,proveedores[Código],0)))</f>
        <v/>
      </c>
      <c r="D228" s="15" t="str">
        <f>IF(A228="","",INDEX(proveedores[Perfil],MATCH(A228,proveedores[Código],0)))</f>
        <v/>
      </c>
      <c r="E228" s="15" t="str">
        <f>IF(A228="","",IFERROR(INDEX(proveedores[Nivel de criticidad],MATCH(A228,proveedores[Código],0)),""))</f>
        <v/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5">
        <f t="shared" si="12"/>
        <v>100</v>
      </c>
      <c r="V228" s="12" t="str">
        <f t="shared" si="13"/>
        <v>Clase A++</v>
      </c>
    </row>
    <row r="229" spans="1:22" x14ac:dyDescent="0.2">
      <c r="A229" s="13"/>
      <c r="B229" s="14" t="str">
        <f>IF(A229="","",INDEX(proveedores[Proveedor],MATCH(A229,proveedores[Código],0)))</f>
        <v/>
      </c>
      <c r="C229" s="14" t="str">
        <f>IF(A229="","",INDEX(proveedores[Material],MATCH(A229,proveedores[Código],0)))</f>
        <v/>
      </c>
      <c r="D229" s="15" t="str">
        <f>IF(A229="","",INDEX(proveedores[Perfil],MATCH(A229,proveedores[Código],0)))</f>
        <v/>
      </c>
      <c r="E229" s="15" t="str">
        <f>IF(A229="","",IFERROR(INDEX(proveedores[Nivel de criticidad],MATCH(A229,proveedores[Código],0)),""))</f>
        <v/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5">
        <f t="shared" si="12"/>
        <v>100</v>
      </c>
      <c r="V229" s="12" t="str">
        <f t="shared" si="13"/>
        <v>Clase A++</v>
      </c>
    </row>
    <row r="230" spans="1:22" x14ac:dyDescent="0.2">
      <c r="A230" s="13"/>
      <c r="B230" s="14" t="str">
        <f>IF(A230="","",INDEX(proveedores[Proveedor],MATCH(A230,proveedores[Código],0)))</f>
        <v/>
      </c>
      <c r="C230" s="14" t="str">
        <f>IF(A230="","",INDEX(proveedores[Material],MATCH(A230,proveedores[Código],0)))</f>
        <v/>
      </c>
      <c r="D230" s="15" t="str">
        <f>IF(A230="","",INDEX(proveedores[Perfil],MATCH(A230,proveedores[Código],0)))</f>
        <v/>
      </c>
      <c r="E230" s="15" t="str">
        <f>IF(A230="","",IFERROR(INDEX(proveedores[Nivel de criticidad],MATCH(A230,proveedores[Código],0)),""))</f>
        <v/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5">
        <f t="shared" si="12"/>
        <v>100</v>
      </c>
      <c r="V230" s="12" t="str">
        <f t="shared" si="13"/>
        <v>Clase A++</v>
      </c>
    </row>
    <row r="231" spans="1:22" x14ac:dyDescent="0.2">
      <c r="A231" s="13"/>
      <c r="B231" s="14" t="str">
        <f>IF(A231="","",INDEX(proveedores[Proveedor],MATCH(A231,proveedores[Código],0)))</f>
        <v/>
      </c>
      <c r="C231" s="14" t="str">
        <f>IF(A231="","",INDEX(proveedores[Material],MATCH(A231,proveedores[Código],0)))</f>
        <v/>
      </c>
      <c r="D231" s="15" t="str">
        <f>IF(A231="","",INDEX(proveedores[Perfil],MATCH(A231,proveedores[Código],0)))</f>
        <v/>
      </c>
      <c r="E231" s="15" t="str">
        <f>IF(A231="","",IFERROR(INDEX(proveedores[Nivel de criticidad],MATCH(A231,proveedores[Código],0)),""))</f>
        <v/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5">
        <f t="shared" si="12"/>
        <v>100</v>
      </c>
      <c r="V231" s="12" t="str">
        <f t="shared" si="13"/>
        <v>Clase A++</v>
      </c>
    </row>
    <row r="232" spans="1:22" x14ac:dyDescent="0.2">
      <c r="A232" s="13"/>
      <c r="B232" s="14" t="str">
        <f>IF(A232="","",INDEX(proveedores[Proveedor],MATCH(A232,proveedores[Código],0)))</f>
        <v/>
      </c>
      <c r="C232" s="14" t="str">
        <f>IF(A232="","",INDEX(proveedores[Material],MATCH(A232,proveedores[Código],0)))</f>
        <v/>
      </c>
      <c r="D232" s="15" t="str">
        <f>IF(A232="","",INDEX(proveedores[Perfil],MATCH(A232,proveedores[Código],0)))</f>
        <v/>
      </c>
      <c r="E232" s="15" t="str">
        <f>IF(A232="","",IFERROR(INDEX(proveedores[Nivel de criticidad],MATCH(A232,proveedores[Código],0)),""))</f>
        <v/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5">
        <f t="shared" si="12"/>
        <v>100</v>
      </c>
      <c r="V232" s="12" t="str">
        <f t="shared" si="13"/>
        <v>Clase A++</v>
      </c>
    </row>
    <row r="233" spans="1:22" x14ac:dyDescent="0.2">
      <c r="A233" s="13"/>
      <c r="B233" s="14" t="str">
        <f>IF(A233="","",INDEX(proveedores[Proveedor],MATCH(A233,proveedores[Código],0)))</f>
        <v/>
      </c>
      <c r="C233" s="14" t="str">
        <f>IF(A233="","",INDEX(proveedores[Material],MATCH(A233,proveedores[Código],0)))</f>
        <v/>
      </c>
      <c r="D233" s="15" t="str">
        <f>IF(A233="","",INDEX(proveedores[Perfil],MATCH(A233,proveedores[Código],0)))</f>
        <v/>
      </c>
      <c r="E233" s="15" t="str">
        <f>IF(A233="","",IFERROR(INDEX(proveedores[Nivel de criticidad],MATCH(A233,proveedores[Código],0)),""))</f>
        <v/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5">
        <f t="shared" si="12"/>
        <v>100</v>
      </c>
      <c r="V233" s="12" t="str">
        <f t="shared" si="13"/>
        <v>Clase A++</v>
      </c>
    </row>
    <row r="234" spans="1:22" x14ac:dyDescent="0.2">
      <c r="A234" s="13"/>
      <c r="B234" s="14" t="str">
        <f>IF(A234="","",INDEX(proveedores[Proveedor],MATCH(A234,proveedores[Código],0)))</f>
        <v/>
      </c>
      <c r="C234" s="14" t="str">
        <f>IF(A234="","",INDEX(proveedores[Material],MATCH(A234,proveedores[Código],0)))</f>
        <v/>
      </c>
      <c r="D234" s="15" t="str">
        <f>IF(A234="","",INDEX(proveedores[Perfil],MATCH(A234,proveedores[Código],0)))</f>
        <v/>
      </c>
      <c r="E234" s="15" t="str">
        <f>IF(A234="","",IFERROR(INDEX(proveedores[Nivel de criticidad],MATCH(A234,proveedores[Código],0)),""))</f>
        <v/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5">
        <f t="shared" si="12"/>
        <v>100</v>
      </c>
      <c r="V234" s="12" t="str">
        <f t="shared" si="13"/>
        <v>Clase A++</v>
      </c>
    </row>
    <row r="235" spans="1:22" x14ac:dyDescent="0.2">
      <c r="A235" s="13"/>
      <c r="B235" s="14" t="str">
        <f>IF(A235="","",INDEX(proveedores[Proveedor],MATCH(A235,proveedores[Código],0)))</f>
        <v/>
      </c>
      <c r="C235" s="14" t="str">
        <f>IF(A235="","",INDEX(proveedores[Material],MATCH(A235,proveedores[Código],0)))</f>
        <v/>
      </c>
      <c r="D235" s="15" t="str">
        <f>IF(A235="","",INDEX(proveedores[Perfil],MATCH(A235,proveedores[Código],0)))</f>
        <v/>
      </c>
      <c r="E235" s="15" t="str">
        <f>IF(A235="","",IFERROR(INDEX(proveedores[Nivel de criticidad],MATCH(A235,proveedores[Código],0)),""))</f>
        <v/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5">
        <f t="shared" si="12"/>
        <v>100</v>
      </c>
      <c r="V235" s="12" t="str">
        <f t="shared" si="13"/>
        <v>Clase A++</v>
      </c>
    </row>
    <row r="236" spans="1:22" x14ac:dyDescent="0.2">
      <c r="A236" s="13"/>
      <c r="B236" s="14" t="str">
        <f>IF(A236="","",INDEX(proveedores[Proveedor],MATCH(A236,proveedores[Código],0)))</f>
        <v/>
      </c>
      <c r="C236" s="14" t="str">
        <f>IF(A236="","",INDEX(proveedores[Material],MATCH(A236,proveedores[Código],0)))</f>
        <v/>
      </c>
      <c r="D236" s="15" t="str">
        <f>IF(A236="","",INDEX(proveedores[Perfil],MATCH(A236,proveedores[Código],0)))</f>
        <v/>
      </c>
      <c r="E236" s="15" t="str">
        <f>IF(A236="","",IFERROR(INDEX(proveedores[Nivel de criticidad],MATCH(A236,proveedores[Código],0)),""))</f>
        <v/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5">
        <f t="shared" si="12"/>
        <v>100</v>
      </c>
      <c r="V236" s="12" t="str">
        <f t="shared" si="13"/>
        <v>Clase A++</v>
      </c>
    </row>
    <row r="237" spans="1:22" x14ac:dyDescent="0.2">
      <c r="A237" s="13"/>
      <c r="B237" s="14" t="str">
        <f>IF(A237="","",INDEX(proveedores[Proveedor],MATCH(A237,proveedores[Código],0)))</f>
        <v/>
      </c>
      <c r="C237" s="14" t="str">
        <f>IF(A237="","",INDEX(proveedores[Material],MATCH(A237,proveedores[Código],0)))</f>
        <v/>
      </c>
      <c r="D237" s="15" t="str">
        <f>IF(A237="","",INDEX(proveedores[Perfil],MATCH(A237,proveedores[Código],0)))</f>
        <v/>
      </c>
      <c r="E237" s="15" t="str">
        <f>IF(A237="","",IFERROR(INDEX(proveedores[Nivel de criticidad],MATCH(A237,proveedores[Código],0)),""))</f>
        <v/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5">
        <f t="shared" si="12"/>
        <v>100</v>
      </c>
      <c r="V237" s="12" t="str">
        <f t="shared" si="13"/>
        <v>Clase A++</v>
      </c>
    </row>
    <row r="238" spans="1:22" x14ac:dyDescent="0.2">
      <c r="A238" s="13"/>
      <c r="B238" s="14" t="str">
        <f>IF(A238="","",INDEX(proveedores[Proveedor],MATCH(A238,proveedores[Código],0)))</f>
        <v/>
      </c>
      <c r="C238" s="14" t="str">
        <f>IF(A238="","",INDEX(proveedores[Material],MATCH(A238,proveedores[Código],0)))</f>
        <v/>
      </c>
      <c r="D238" s="15" t="str">
        <f>IF(A238="","",INDEX(proveedores[Perfil],MATCH(A238,proveedores[Código],0)))</f>
        <v/>
      </c>
      <c r="E238" s="15" t="str">
        <f>IF(A238="","",IFERROR(INDEX(proveedores[Nivel de criticidad],MATCH(A238,proveedores[Código],0)),""))</f>
        <v/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5">
        <f t="shared" si="12"/>
        <v>100</v>
      </c>
      <c r="V238" s="12" t="str">
        <f t="shared" si="13"/>
        <v>Clase A++</v>
      </c>
    </row>
    <row r="239" spans="1:22" x14ac:dyDescent="0.2">
      <c r="A239" s="13"/>
      <c r="B239" s="14" t="str">
        <f>IF(A239="","",INDEX(proveedores[Proveedor],MATCH(A239,proveedores[Código],0)))</f>
        <v/>
      </c>
      <c r="C239" s="14" t="str">
        <f>IF(A239="","",INDEX(proveedores[Material],MATCH(A239,proveedores[Código],0)))</f>
        <v/>
      </c>
      <c r="D239" s="15" t="str">
        <f>IF(A239="","",INDEX(proveedores[Perfil],MATCH(A239,proveedores[Código],0)))</f>
        <v/>
      </c>
      <c r="E239" s="15" t="str">
        <f>IF(A239="","",IFERROR(INDEX(proveedores[Nivel de criticidad],MATCH(A239,proveedores[Código],0)),""))</f>
        <v/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5">
        <f t="shared" si="12"/>
        <v>100</v>
      </c>
      <c r="V239" s="12" t="str">
        <f t="shared" si="13"/>
        <v>Clase A++</v>
      </c>
    </row>
    <row r="240" spans="1:22" x14ac:dyDescent="0.2">
      <c r="A240" s="13"/>
      <c r="B240" s="14" t="str">
        <f>IF(A240="","",INDEX(proveedores[Proveedor],MATCH(A240,proveedores[Código],0)))</f>
        <v/>
      </c>
      <c r="C240" s="14" t="str">
        <f>IF(A240="","",INDEX(proveedores[Material],MATCH(A240,proveedores[Código],0)))</f>
        <v/>
      </c>
      <c r="D240" s="15" t="str">
        <f>IF(A240="","",INDEX(proveedores[Perfil],MATCH(A240,proveedores[Código],0)))</f>
        <v/>
      </c>
      <c r="E240" s="15" t="str">
        <f>IF(A240="","",IFERROR(INDEX(proveedores[Nivel de criticidad],MATCH(A240,proveedores[Código],0)),""))</f>
        <v/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5">
        <f t="shared" si="12"/>
        <v>100</v>
      </c>
      <c r="V240" s="12" t="str">
        <f t="shared" si="13"/>
        <v>Clase A++</v>
      </c>
    </row>
    <row r="241" spans="1:22" x14ac:dyDescent="0.2">
      <c r="A241" s="13"/>
      <c r="B241" s="14" t="str">
        <f>IF(A241="","",INDEX(proveedores[Proveedor],MATCH(A241,proveedores[Código],0)))</f>
        <v/>
      </c>
      <c r="C241" s="14" t="str">
        <f>IF(A241="","",INDEX(proveedores[Material],MATCH(A241,proveedores[Código],0)))</f>
        <v/>
      </c>
      <c r="D241" s="15" t="str">
        <f>IF(A241="","",INDEX(proveedores[Perfil],MATCH(A241,proveedores[Código],0)))</f>
        <v/>
      </c>
      <c r="E241" s="15" t="str">
        <f>IF(A241="","",IFERROR(INDEX(proveedores[Nivel de criticidad],MATCH(A241,proveedores[Código],0)),""))</f>
        <v/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5">
        <f t="shared" si="12"/>
        <v>100</v>
      </c>
      <c r="V241" s="12" t="str">
        <f t="shared" si="13"/>
        <v>Clase A++</v>
      </c>
    </row>
    <row r="242" spans="1:22" x14ac:dyDescent="0.2">
      <c r="A242" s="13"/>
      <c r="B242" s="14" t="str">
        <f>IF(A242="","",INDEX(proveedores[Proveedor],MATCH(A242,proveedores[Código],0)))</f>
        <v/>
      </c>
      <c r="C242" s="14" t="str">
        <f>IF(A242="","",INDEX(proveedores[Material],MATCH(A242,proveedores[Código],0)))</f>
        <v/>
      </c>
      <c r="D242" s="15" t="str">
        <f>IF(A242="","",INDEX(proveedores[Perfil],MATCH(A242,proveedores[Código],0)))</f>
        <v/>
      </c>
      <c r="E242" s="15" t="str">
        <f>IF(A242="","",IFERROR(INDEX(proveedores[Nivel de criticidad],MATCH(A242,proveedores[Código],0)),""))</f>
        <v/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5">
        <f t="shared" si="12"/>
        <v>100</v>
      </c>
      <c r="V242" s="12" t="str">
        <f t="shared" si="13"/>
        <v>Clase A++</v>
      </c>
    </row>
    <row r="243" spans="1:22" x14ac:dyDescent="0.2">
      <c r="A243" s="13"/>
      <c r="B243" s="14" t="str">
        <f>IF(A243="","",INDEX(proveedores[Proveedor],MATCH(A243,proveedores[Código],0)))</f>
        <v/>
      </c>
      <c r="C243" s="14" t="str">
        <f>IF(A243="","",INDEX(proveedores[Material],MATCH(A243,proveedores[Código],0)))</f>
        <v/>
      </c>
      <c r="D243" s="15" t="str">
        <f>IF(A243="","",INDEX(proveedores[Perfil],MATCH(A243,proveedores[Código],0)))</f>
        <v/>
      </c>
      <c r="E243" s="15" t="str">
        <f>IF(A243="","",IFERROR(INDEX(proveedores[Nivel de criticidad],MATCH(A243,proveedores[Código],0)),""))</f>
        <v/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5">
        <f t="shared" si="12"/>
        <v>100</v>
      </c>
      <c r="V243" s="12" t="str">
        <f t="shared" si="13"/>
        <v>Clase A++</v>
      </c>
    </row>
    <row r="244" spans="1:22" x14ac:dyDescent="0.2">
      <c r="A244" s="13"/>
      <c r="B244" s="14" t="str">
        <f>IF(A244="","",INDEX(proveedores[Proveedor],MATCH(A244,proveedores[Código],0)))</f>
        <v/>
      </c>
      <c r="C244" s="14" t="str">
        <f>IF(A244="","",INDEX(proveedores[Material],MATCH(A244,proveedores[Código],0)))</f>
        <v/>
      </c>
      <c r="D244" s="15" t="str">
        <f>IF(A244="","",INDEX(proveedores[Perfil],MATCH(A244,proveedores[Código],0)))</f>
        <v/>
      </c>
      <c r="E244" s="15" t="str">
        <f>IF(A244="","",IFERROR(INDEX(proveedores[Nivel de criticidad],MATCH(A244,proveedores[Código],0)),""))</f>
        <v/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5">
        <f t="shared" si="12"/>
        <v>100</v>
      </c>
      <c r="V244" s="12" t="str">
        <f t="shared" si="13"/>
        <v>Clase A++</v>
      </c>
    </row>
    <row r="245" spans="1:22" x14ac:dyDescent="0.2">
      <c r="A245" s="13"/>
      <c r="B245" s="14" t="str">
        <f>IF(A245="","",INDEX(proveedores[Proveedor],MATCH(A245,proveedores[Código],0)))</f>
        <v/>
      </c>
      <c r="C245" s="14" t="str">
        <f>IF(A245="","",INDEX(proveedores[Material],MATCH(A245,proveedores[Código],0)))</f>
        <v/>
      </c>
      <c r="D245" s="15" t="str">
        <f>IF(A245="","",INDEX(proveedores[Perfil],MATCH(A245,proveedores[Código],0)))</f>
        <v/>
      </c>
      <c r="E245" s="15" t="str">
        <f>IF(A245="","",IFERROR(INDEX(proveedores[Nivel de criticidad],MATCH(A245,proveedores[Código],0)),""))</f>
        <v/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5">
        <f t="shared" si="12"/>
        <v>100</v>
      </c>
      <c r="V245" s="12" t="str">
        <f t="shared" si="13"/>
        <v>Clase A++</v>
      </c>
    </row>
    <row r="246" spans="1:22" x14ac:dyDescent="0.2">
      <c r="A246" s="13"/>
      <c r="B246" s="14" t="str">
        <f>IF(A246="","",INDEX(proveedores[Proveedor],MATCH(A246,proveedores[Código],0)))</f>
        <v/>
      </c>
      <c r="C246" s="14" t="str">
        <f>IF(A246="","",INDEX(proveedores[Material],MATCH(A246,proveedores[Código],0)))</f>
        <v/>
      </c>
      <c r="D246" s="15" t="str">
        <f>IF(A246="","",INDEX(proveedores[Perfil],MATCH(A246,proveedores[Código],0)))</f>
        <v/>
      </c>
      <c r="E246" s="15" t="str">
        <f>IF(A246="","",IFERROR(INDEX(proveedores[Nivel de criticidad],MATCH(A246,proveedores[Código],0)),""))</f>
        <v/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5">
        <f t="shared" si="12"/>
        <v>100</v>
      </c>
      <c r="V246" s="12" t="str">
        <f t="shared" si="13"/>
        <v>Clase A++</v>
      </c>
    </row>
    <row r="247" spans="1:22" x14ac:dyDescent="0.2">
      <c r="A247" s="13"/>
      <c r="B247" s="14" t="str">
        <f>IF(A247="","",INDEX(proveedores[Proveedor],MATCH(A247,proveedores[Código],0)))</f>
        <v/>
      </c>
      <c r="C247" s="14" t="str">
        <f>IF(A247="","",INDEX(proveedores[Material],MATCH(A247,proveedores[Código],0)))</f>
        <v/>
      </c>
      <c r="D247" s="15" t="str">
        <f>IF(A247="","",INDEX(proveedores[Perfil],MATCH(A247,proveedores[Código],0)))</f>
        <v/>
      </c>
      <c r="E247" s="15" t="str">
        <f>IF(A247="","",IFERROR(INDEX(proveedores[Nivel de criticidad],MATCH(A247,proveedores[Código],0)),""))</f>
        <v/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5">
        <f t="shared" si="12"/>
        <v>100</v>
      </c>
      <c r="V247" s="12" t="str">
        <f t="shared" si="13"/>
        <v>Clase A++</v>
      </c>
    </row>
    <row r="248" spans="1:22" x14ac:dyDescent="0.2">
      <c r="A248" s="13"/>
      <c r="B248" s="14" t="str">
        <f>IF(A248="","",INDEX(proveedores[Proveedor],MATCH(A248,proveedores[Código],0)))</f>
        <v/>
      </c>
      <c r="C248" s="14" t="str">
        <f>IF(A248="","",INDEX(proveedores[Material],MATCH(A248,proveedores[Código],0)))</f>
        <v/>
      </c>
      <c r="D248" s="15" t="str">
        <f>IF(A248="","",INDEX(proveedores[Perfil],MATCH(A248,proveedores[Código],0)))</f>
        <v/>
      </c>
      <c r="E248" s="15" t="str">
        <f>IF(A248="","",IFERROR(INDEX(proveedores[Nivel de criticidad],MATCH(A248,proveedores[Código],0)),""))</f>
        <v/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5">
        <f t="shared" si="12"/>
        <v>100</v>
      </c>
      <c r="V248" s="12" t="str">
        <f t="shared" si="13"/>
        <v>Clase A++</v>
      </c>
    </row>
    <row r="249" spans="1:22" x14ac:dyDescent="0.2">
      <c r="A249" s="13"/>
      <c r="B249" s="14" t="str">
        <f>IF(A249="","",INDEX(proveedores[Proveedor],MATCH(A249,proveedores[Código],0)))</f>
        <v/>
      </c>
      <c r="C249" s="14" t="str">
        <f>IF(A249="","",INDEX(proveedores[Material],MATCH(A249,proveedores[Código],0)))</f>
        <v/>
      </c>
      <c r="D249" s="15" t="str">
        <f>IF(A249="","",INDEX(proveedores[Perfil],MATCH(A249,proveedores[Código],0)))</f>
        <v/>
      </c>
      <c r="E249" s="15" t="str">
        <f>IF(A249="","",IFERROR(INDEX(proveedores[Nivel de criticidad],MATCH(A249,proveedores[Código],0)),""))</f>
        <v/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5">
        <f t="shared" si="12"/>
        <v>100</v>
      </c>
      <c r="V249" s="12" t="str">
        <f t="shared" si="13"/>
        <v>Clase A++</v>
      </c>
    </row>
    <row r="250" spans="1:22" x14ac:dyDescent="0.2">
      <c r="A250" s="13"/>
      <c r="B250" s="14" t="str">
        <f>IF(A250="","",INDEX(proveedores[Proveedor],MATCH(A250,proveedores[Código],0)))</f>
        <v/>
      </c>
      <c r="C250" s="14" t="str">
        <f>IF(A250="","",INDEX(proveedores[Material],MATCH(A250,proveedores[Código],0)))</f>
        <v/>
      </c>
      <c r="D250" s="15" t="str">
        <f>IF(A250="","",INDEX(proveedores[Perfil],MATCH(A250,proveedores[Código],0)))</f>
        <v/>
      </c>
      <c r="E250" s="15" t="str">
        <f>IF(A250="","",IFERROR(INDEX(proveedores[Nivel de criticidad],MATCH(A250,proveedores[Código],0)),""))</f>
        <v/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5">
        <f t="shared" si="12"/>
        <v>100</v>
      </c>
      <c r="V250" s="12" t="str">
        <f t="shared" si="13"/>
        <v>Clase A++</v>
      </c>
    </row>
    <row r="251" spans="1:22" x14ac:dyDescent="0.2">
      <c r="A251" s="13"/>
      <c r="B251" s="14" t="str">
        <f>IF(A251="","",INDEX(proveedores[Proveedor],MATCH(A251,proveedores[Código],0)))</f>
        <v/>
      </c>
      <c r="C251" s="14" t="str">
        <f>IF(A251="","",INDEX(proveedores[Material],MATCH(A251,proveedores[Código],0)))</f>
        <v/>
      </c>
      <c r="D251" s="15" t="str">
        <f>IF(A251="","",INDEX(proveedores[Perfil],MATCH(A251,proveedores[Código],0)))</f>
        <v/>
      </c>
      <c r="E251" s="15" t="str">
        <f>IF(A251="","",IFERROR(INDEX(proveedores[Nivel de criticidad],MATCH(A251,proveedores[Código],0)),""))</f>
        <v/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5">
        <f t="shared" si="12"/>
        <v>100</v>
      </c>
      <c r="V251" s="12" t="str">
        <f t="shared" si="13"/>
        <v>Clase A++</v>
      </c>
    </row>
    <row r="252" spans="1:22" x14ac:dyDescent="0.2">
      <c r="A252" s="13"/>
      <c r="B252" s="14" t="str">
        <f>IF(A252="","",INDEX(proveedores[Proveedor],MATCH(A252,proveedores[Código],0)))</f>
        <v/>
      </c>
      <c r="C252" s="14" t="str">
        <f>IF(A252="","",INDEX(proveedores[Material],MATCH(A252,proveedores[Código],0)))</f>
        <v/>
      </c>
      <c r="D252" s="15" t="str">
        <f>IF(A252="","",INDEX(proveedores[Perfil],MATCH(A252,proveedores[Código],0)))</f>
        <v/>
      </c>
      <c r="E252" s="15" t="str">
        <f>IF(A252="","",IFERROR(INDEX(proveedores[Nivel de criticidad],MATCH(A252,proveedores[Código],0)),""))</f>
        <v/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5">
        <f t="shared" si="12"/>
        <v>100</v>
      </c>
      <c r="V252" s="12" t="str">
        <f t="shared" si="13"/>
        <v>Clase A++</v>
      </c>
    </row>
    <row r="253" spans="1:22" x14ac:dyDescent="0.2">
      <c r="A253" s="13"/>
      <c r="B253" s="14" t="str">
        <f>IF(A253="","",INDEX(proveedores[Proveedor],MATCH(A253,proveedores[Código],0)))</f>
        <v/>
      </c>
      <c r="C253" s="14" t="str">
        <f>IF(A253="","",INDEX(proveedores[Material],MATCH(A253,proveedores[Código],0)))</f>
        <v/>
      </c>
      <c r="D253" s="15" t="str">
        <f>IF(A253="","",INDEX(proveedores[Perfil],MATCH(A253,proveedores[Código],0)))</f>
        <v/>
      </c>
      <c r="E253" s="15" t="str">
        <f>IF(A253="","",IFERROR(INDEX(proveedores[Nivel de criticidad],MATCH(A253,proveedores[Código],0)),""))</f>
        <v/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5">
        <f t="shared" si="12"/>
        <v>100</v>
      </c>
      <c r="V253" s="12" t="str">
        <f t="shared" si="13"/>
        <v>Clase A++</v>
      </c>
    </row>
    <row r="254" spans="1:22" x14ac:dyDescent="0.2">
      <c r="A254" s="13"/>
      <c r="B254" s="14" t="str">
        <f>IF(A254="","",INDEX(proveedores[Proveedor],MATCH(A254,proveedores[Código],0)))</f>
        <v/>
      </c>
      <c r="C254" s="14" t="str">
        <f>IF(A254="","",INDEX(proveedores[Material],MATCH(A254,proveedores[Código],0)))</f>
        <v/>
      </c>
      <c r="D254" s="15" t="str">
        <f>IF(A254="","",INDEX(proveedores[Perfil],MATCH(A254,proveedores[Código],0)))</f>
        <v/>
      </c>
      <c r="E254" s="15" t="str">
        <f>IF(A254="","",IFERROR(INDEX(proveedores[Nivel de criticidad],MATCH(A254,proveedores[Código],0)),""))</f>
        <v/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5">
        <f t="shared" si="12"/>
        <v>100</v>
      </c>
      <c r="V254" s="12" t="str">
        <f t="shared" si="13"/>
        <v>Clase A++</v>
      </c>
    </row>
    <row r="255" spans="1:22" x14ac:dyDescent="0.2">
      <c r="A255" s="13"/>
      <c r="B255" s="14" t="str">
        <f>IF(A255="","",INDEX(proveedores[Proveedor],MATCH(A255,proveedores[Código],0)))</f>
        <v/>
      </c>
      <c r="C255" s="14" t="str">
        <f>IF(A255="","",INDEX(proveedores[Material],MATCH(A255,proveedores[Código],0)))</f>
        <v/>
      </c>
      <c r="D255" s="15" t="str">
        <f>IF(A255="","",INDEX(proveedores[Perfil],MATCH(A255,proveedores[Código],0)))</f>
        <v/>
      </c>
      <c r="E255" s="15" t="str">
        <f>IF(A255="","",IFERROR(INDEX(proveedores[Nivel de criticidad],MATCH(A255,proveedores[Código],0)),""))</f>
        <v/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5">
        <f t="shared" si="12"/>
        <v>100</v>
      </c>
      <c r="V255" s="12" t="str">
        <f t="shared" si="13"/>
        <v>Clase A++</v>
      </c>
    </row>
    <row r="256" spans="1:22" x14ac:dyDescent="0.2">
      <c r="A256" s="13"/>
      <c r="B256" s="14" t="str">
        <f>IF(A256="","",INDEX(proveedores[Proveedor],MATCH(A256,proveedores[Código],0)))</f>
        <v/>
      </c>
      <c r="C256" s="14" t="str">
        <f>IF(A256="","",INDEX(proveedores[Material],MATCH(A256,proveedores[Código],0)))</f>
        <v/>
      </c>
      <c r="D256" s="15" t="str">
        <f>IF(A256="","",INDEX(proveedores[Perfil],MATCH(A256,proveedores[Código],0)))</f>
        <v/>
      </c>
      <c r="E256" s="15" t="str">
        <f>IF(A256="","",IFERROR(INDEX(proveedores[Nivel de criticidad],MATCH(A256,proveedores[Código],0)),""))</f>
        <v/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5">
        <f t="shared" si="12"/>
        <v>100</v>
      </c>
      <c r="V256" s="12" t="str">
        <f t="shared" si="13"/>
        <v>Clase A++</v>
      </c>
    </row>
    <row r="257" spans="1:22" x14ac:dyDescent="0.2">
      <c r="A257" s="13"/>
      <c r="B257" s="14" t="str">
        <f>IF(A257="","",INDEX(proveedores[Proveedor],MATCH(A257,proveedores[Código],0)))</f>
        <v/>
      </c>
      <c r="C257" s="14" t="str">
        <f>IF(A257="","",INDEX(proveedores[Material],MATCH(A257,proveedores[Código],0)))</f>
        <v/>
      </c>
      <c r="D257" s="15" t="str">
        <f>IF(A257="","",INDEX(proveedores[Perfil],MATCH(A257,proveedores[Código],0)))</f>
        <v/>
      </c>
      <c r="E257" s="15" t="str">
        <f>IF(A257="","",IFERROR(INDEX(proveedores[Nivel de criticidad],MATCH(A257,proveedores[Código],0)),""))</f>
        <v/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5">
        <f t="shared" si="12"/>
        <v>100</v>
      </c>
      <c r="V257" s="12" t="str">
        <f t="shared" si="13"/>
        <v>Clase A++</v>
      </c>
    </row>
    <row r="258" spans="1:22" x14ac:dyDescent="0.2">
      <c r="A258" s="13"/>
      <c r="B258" s="14" t="str">
        <f>IF(A258="","",INDEX(proveedores[Proveedor],MATCH(A258,proveedores[Código],0)))</f>
        <v/>
      </c>
      <c r="C258" s="14" t="str">
        <f>IF(A258="","",INDEX(proveedores[Material],MATCH(A258,proveedores[Código],0)))</f>
        <v/>
      </c>
      <c r="D258" s="15" t="str">
        <f>IF(A258="","",INDEX(proveedores[Perfil],MATCH(A258,proveedores[Código],0)))</f>
        <v/>
      </c>
      <c r="E258" s="15" t="str">
        <f>IF(A258="","",IFERROR(INDEX(proveedores[Nivel de criticidad],MATCH(A258,proveedores[Código],0)),""))</f>
        <v/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5">
        <f t="shared" si="12"/>
        <v>100</v>
      </c>
      <c r="V258" s="12" t="str">
        <f t="shared" si="13"/>
        <v>Clase A++</v>
      </c>
    </row>
    <row r="259" spans="1:22" x14ac:dyDescent="0.2">
      <c r="A259" s="13"/>
      <c r="B259" s="14" t="str">
        <f>IF(A259="","",INDEX(proveedores[Proveedor],MATCH(A259,proveedores[Código],0)))</f>
        <v/>
      </c>
      <c r="C259" s="14" t="str">
        <f>IF(A259="","",INDEX(proveedores[Material],MATCH(A259,proveedores[Código],0)))</f>
        <v/>
      </c>
      <c r="D259" s="15" t="str">
        <f>IF(A259="","",INDEX(proveedores[Perfil],MATCH(A259,proveedores[Código],0)))</f>
        <v/>
      </c>
      <c r="E259" s="15" t="str">
        <f>IF(A259="","",IFERROR(INDEX(proveedores[Nivel de criticidad],MATCH(A259,proveedores[Código],0)),""))</f>
        <v/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5">
        <f t="shared" si="12"/>
        <v>100</v>
      </c>
      <c r="V259" s="12" t="str">
        <f t="shared" si="13"/>
        <v>Clase A++</v>
      </c>
    </row>
    <row r="260" spans="1:22" x14ac:dyDescent="0.2">
      <c r="A260" s="13"/>
      <c r="B260" s="14" t="str">
        <f>IF(A260="","",INDEX(proveedores[Proveedor],MATCH(A260,proveedores[Código],0)))</f>
        <v/>
      </c>
      <c r="C260" s="14" t="str">
        <f>IF(A260="","",INDEX(proveedores[Material],MATCH(A260,proveedores[Código],0)))</f>
        <v/>
      </c>
      <c r="D260" s="15" t="str">
        <f>IF(A260="","",INDEX(proveedores[Perfil],MATCH(A260,proveedores[Código],0)))</f>
        <v/>
      </c>
      <c r="E260" s="15" t="str">
        <f>IF(A260="","",IFERROR(INDEX(proveedores[Nivel de criticidad],MATCH(A260,proveedores[Código],0)),""))</f>
        <v/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5">
        <f t="shared" si="12"/>
        <v>100</v>
      </c>
      <c r="V260" s="12" t="str">
        <f t="shared" si="13"/>
        <v>Clase A++</v>
      </c>
    </row>
    <row r="261" spans="1:22" x14ac:dyDescent="0.2">
      <c r="A261" s="13"/>
      <c r="B261" s="14" t="str">
        <f>IF(A261="","",INDEX(proveedores[Proveedor],MATCH(A261,proveedores[Código],0)))</f>
        <v/>
      </c>
      <c r="C261" s="14" t="str">
        <f>IF(A261="","",INDEX(proveedores[Material],MATCH(A261,proveedores[Código],0)))</f>
        <v/>
      </c>
      <c r="D261" s="15" t="str">
        <f>IF(A261="","",INDEX(proveedores[Perfil],MATCH(A261,proveedores[Código],0)))</f>
        <v/>
      </c>
      <c r="E261" s="15" t="str">
        <f>IF(A261="","",IFERROR(INDEX(proveedores[Nivel de criticidad],MATCH(A261,proveedores[Código],0)),""))</f>
        <v/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5">
        <f t="shared" si="12"/>
        <v>100</v>
      </c>
      <c r="V261" s="12" t="str">
        <f t="shared" si="13"/>
        <v>Clase A++</v>
      </c>
    </row>
    <row r="262" spans="1:22" x14ac:dyDescent="0.2">
      <c r="A262" s="13"/>
      <c r="B262" s="14" t="str">
        <f>IF(A262="","",INDEX(proveedores[Proveedor],MATCH(A262,proveedores[Código],0)))</f>
        <v/>
      </c>
      <c r="C262" s="14" t="str">
        <f>IF(A262="","",INDEX(proveedores[Material],MATCH(A262,proveedores[Código],0)))</f>
        <v/>
      </c>
      <c r="D262" s="15" t="str">
        <f>IF(A262="","",INDEX(proveedores[Perfil],MATCH(A262,proveedores[Código],0)))</f>
        <v/>
      </c>
      <c r="E262" s="15" t="str">
        <f>IF(A262="","",IFERROR(INDEX(proveedores[Nivel de criticidad],MATCH(A262,proveedores[Código],0)),""))</f>
        <v/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5">
        <f t="shared" ref="U262:U325" si="14">IF(D262="Internacional", MIN(IF(((F262*10)+(G262*3)+(H262*4)+(I262*5)+(J262*8)+(O262*5)+(P262*2)+IF(L262="N/A",0,(L262*10)+(M262*5)+(N262*3)))&gt;0,98,100), ((MAX(0, 30 - (F262*10) - (G262*3))/30)*45) + ((MAX(0, 25 - (H262*4) - (I262*5) - (J262*8) - (K262*5))/25)*35) + ((MAX(0, 15 - (O262*5) - (P262*2))/15)*20) + (IF(Q262="N/A",0,Q262)*2.5) + (IF(R262="N/A",0,R262)*2.5) + (IF(S262="N/A",0,S262)*2.5) + (IF(T262="N/A",0,T262)*2.5)), IF(D262="Local Insumos", MIN(IF(((F262*10)+(G262*3)+(H262*4)+(I262*5)+(J262*8)+(O262*5)+(P262*2)+IF(L262="N/A",0,(L262*10)+(M262*5)+(N262*3)))&gt;0,98,100), ((MAX(0, 30 - (F262*10) - (G262*3))/30)*35) + ((MAX(0, 25 - (H262*4) - (I262*5) - (J262*8) - (K262*5))/25)*30) + MAX(0, 20 - (L262*10) - (M262*5) - (N262*3)) + MAX(0, 15 - (O262*5) - (P262*2)) + (IF(Q262="N/A",0,Q262)*2.5) + (IF(R262="N/A",0,R262)*2.5) + (IF(S262="N/A",0,S262)*2.5) + (IF(T262="N/A",0,T262)*2.5)), MIN(IF(((F262*10)+(G262*3)+(H262*4)+(I262*5)+(J262*8)+(O262*5)+(P262*2)+IF(L262="N/A",0,(L262*10)+(M262*5)+(N262*3)))&gt;0,98,100), ((MAX(0, 25 - (H262*4) - (I262*5) - (J262*8) - (K262*5))/25)*55) + ((MAX(0, 20 - (L262*10) - (M262*5) - (N262*3))/20)*30) + ((MAX(0, 15 - (O262*5) - (P262*2))/15)*15))))</f>
        <v>100</v>
      </c>
      <c r="V262" s="12" t="str">
        <f t="shared" si="13"/>
        <v>Clase A++</v>
      </c>
    </row>
    <row r="263" spans="1:22" x14ac:dyDescent="0.2">
      <c r="A263" s="13"/>
      <c r="B263" s="14" t="str">
        <f>IF(A263="","",INDEX(proveedores[Proveedor],MATCH(A263,proveedores[Código],0)))</f>
        <v/>
      </c>
      <c r="C263" s="14" t="str">
        <f>IF(A263="","",INDEX(proveedores[Material],MATCH(A263,proveedores[Código],0)))</f>
        <v/>
      </c>
      <c r="D263" s="15" t="str">
        <f>IF(A263="","",INDEX(proveedores[Perfil],MATCH(A263,proveedores[Código],0)))</f>
        <v/>
      </c>
      <c r="E263" s="15" t="str">
        <f>IF(A263="","",IFERROR(INDEX(proveedores[Nivel de criticidad],MATCH(A263,proveedores[Código],0)),""))</f>
        <v/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5">
        <f t="shared" si="14"/>
        <v>100</v>
      </c>
      <c r="V263" s="12" t="str">
        <f t="shared" ref="V263:V326" si="15">IF(U263&gt;=96, "Clase A++", IF(U263&gt;=85, "Clase A", IF(U263&gt;=70, "Clase B", "Clase C")))</f>
        <v>Clase A++</v>
      </c>
    </row>
    <row r="264" spans="1:22" x14ac:dyDescent="0.2">
      <c r="A264" s="13"/>
      <c r="B264" s="14" t="str">
        <f>IF(A264="","",INDEX(proveedores[Proveedor],MATCH(A264,proveedores[Código],0)))</f>
        <v/>
      </c>
      <c r="C264" s="14" t="str">
        <f>IF(A264="","",INDEX(proveedores[Material],MATCH(A264,proveedores[Código],0)))</f>
        <v/>
      </c>
      <c r="D264" s="15" t="str">
        <f>IF(A264="","",INDEX(proveedores[Perfil],MATCH(A264,proveedores[Código],0)))</f>
        <v/>
      </c>
      <c r="E264" s="15" t="str">
        <f>IF(A264="","",IFERROR(INDEX(proveedores[Nivel de criticidad],MATCH(A264,proveedores[Código],0)),""))</f>
        <v/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5">
        <f t="shared" si="14"/>
        <v>100</v>
      </c>
      <c r="V264" s="12" t="str">
        <f t="shared" si="15"/>
        <v>Clase A++</v>
      </c>
    </row>
    <row r="265" spans="1:22" x14ac:dyDescent="0.2">
      <c r="A265" s="13"/>
      <c r="B265" s="14" t="str">
        <f>IF(A265="","",INDEX(proveedores[Proveedor],MATCH(A265,proveedores[Código],0)))</f>
        <v/>
      </c>
      <c r="C265" s="14" t="str">
        <f>IF(A265="","",INDEX(proveedores[Material],MATCH(A265,proveedores[Código],0)))</f>
        <v/>
      </c>
      <c r="D265" s="15" t="str">
        <f>IF(A265="","",INDEX(proveedores[Perfil],MATCH(A265,proveedores[Código],0)))</f>
        <v/>
      </c>
      <c r="E265" s="15" t="str">
        <f>IF(A265="","",IFERROR(INDEX(proveedores[Nivel de criticidad],MATCH(A265,proveedores[Código],0)),""))</f>
        <v/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5">
        <f t="shared" si="14"/>
        <v>100</v>
      </c>
      <c r="V265" s="12" t="str">
        <f t="shared" si="15"/>
        <v>Clase A++</v>
      </c>
    </row>
    <row r="266" spans="1:22" x14ac:dyDescent="0.2">
      <c r="A266" s="13"/>
      <c r="B266" s="14" t="str">
        <f>IF(A266="","",INDEX(proveedores[Proveedor],MATCH(A266,proveedores[Código],0)))</f>
        <v/>
      </c>
      <c r="C266" s="14" t="str">
        <f>IF(A266="","",INDEX(proveedores[Material],MATCH(A266,proveedores[Código],0)))</f>
        <v/>
      </c>
      <c r="D266" s="15" t="str">
        <f>IF(A266="","",INDEX(proveedores[Perfil],MATCH(A266,proveedores[Código],0)))</f>
        <v/>
      </c>
      <c r="E266" s="15" t="str">
        <f>IF(A266="","",IFERROR(INDEX(proveedores[Nivel de criticidad],MATCH(A266,proveedores[Código],0)),""))</f>
        <v/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5">
        <f t="shared" si="14"/>
        <v>100</v>
      </c>
      <c r="V266" s="12" t="str">
        <f t="shared" si="15"/>
        <v>Clase A++</v>
      </c>
    </row>
    <row r="267" spans="1:22" x14ac:dyDescent="0.2">
      <c r="A267" s="13"/>
      <c r="B267" s="14" t="str">
        <f>IF(A267="","",INDEX(proveedores[Proveedor],MATCH(A267,proveedores[Código],0)))</f>
        <v/>
      </c>
      <c r="C267" s="14" t="str">
        <f>IF(A267="","",INDEX(proveedores[Material],MATCH(A267,proveedores[Código],0)))</f>
        <v/>
      </c>
      <c r="D267" s="15" t="str">
        <f>IF(A267="","",INDEX(proveedores[Perfil],MATCH(A267,proveedores[Código],0)))</f>
        <v/>
      </c>
      <c r="E267" s="15" t="str">
        <f>IF(A267="","",IFERROR(INDEX(proveedores[Nivel de criticidad],MATCH(A267,proveedores[Código],0)),""))</f>
        <v/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5">
        <f t="shared" si="14"/>
        <v>100</v>
      </c>
      <c r="V267" s="12" t="str">
        <f t="shared" si="15"/>
        <v>Clase A++</v>
      </c>
    </row>
    <row r="268" spans="1:22" x14ac:dyDescent="0.2">
      <c r="A268" s="13"/>
      <c r="B268" s="14" t="str">
        <f>IF(A268="","",INDEX(proveedores[Proveedor],MATCH(A268,proveedores[Código],0)))</f>
        <v/>
      </c>
      <c r="C268" s="14" t="str">
        <f>IF(A268="","",INDEX(proveedores[Material],MATCH(A268,proveedores[Código],0)))</f>
        <v/>
      </c>
      <c r="D268" s="15" t="str">
        <f>IF(A268="","",INDEX(proveedores[Perfil],MATCH(A268,proveedores[Código],0)))</f>
        <v/>
      </c>
      <c r="E268" s="15" t="str">
        <f>IF(A268="","",IFERROR(INDEX(proveedores[Nivel de criticidad],MATCH(A268,proveedores[Código],0)),""))</f>
        <v/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5">
        <f t="shared" si="14"/>
        <v>100</v>
      </c>
      <c r="V268" s="12" t="str">
        <f t="shared" si="15"/>
        <v>Clase A++</v>
      </c>
    </row>
    <row r="269" spans="1:22" x14ac:dyDescent="0.2">
      <c r="A269" s="13"/>
      <c r="B269" s="14" t="str">
        <f>IF(A269="","",INDEX(proveedores[Proveedor],MATCH(A269,proveedores[Código],0)))</f>
        <v/>
      </c>
      <c r="C269" s="14" t="str">
        <f>IF(A269="","",INDEX(proveedores[Material],MATCH(A269,proveedores[Código],0)))</f>
        <v/>
      </c>
      <c r="D269" s="15" t="str">
        <f>IF(A269="","",INDEX(proveedores[Perfil],MATCH(A269,proveedores[Código],0)))</f>
        <v/>
      </c>
      <c r="E269" s="15" t="str">
        <f>IF(A269="","",IFERROR(INDEX(proveedores[Nivel de criticidad],MATCH(A269,proveedores[Código],0)),""))</f>
        <v/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5">
        <f t="shared" si="14"/>
        <v>100</v>
      </c>
      <c r="V269" s="12" t="str">
        <f t="shared" si="15"/>
        <v>Clase A++</v>
      </c>
    </row>
    <row r="270" spans="1:22" x14ac:dyDescent="0.2">
      <c r="A270" s="13"/>
      <c r="B270" s="14" t="str">
        <f>IF(A270="","",INDEX(proveedores[Proveedor],MATCH(A270,proveedores[Código],0)))</f>
        <v/>
      </c>
      <c r="C270" s="14" t="str">
        <f>IF(A270="","",INDEX(proveedores[Material],MATCH(A270,proveedores[Código],0)))</f>
        <v/>
      </c>
      <c r="D270" s="15" t="str">
        <f>IF(A270="","",INDEX(proveedores[Perfil],MATCH(A270,proveedores[Código],0)))</f>
        <v/>
      </c>
      <c r="E270" s="15" t="str">
        <f>IF(A270="","",IFERROR(INDEX(proveedores[Nivel de criticidad],MATCH(A270,proveedores[Código],0)),""))</f>
        <v/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5">
        <f t="shared" si="14"/>
        <v>100</v>
      </c>
      <c r="V270" s="12" t="str">
        <f t="shared" si="15"/>
        <v>Clase A++</v>
      </c>
    </row>
    <row r="271" spans="1:22" x14ac:dyDescent="0.2">
      <c r="A271" s="13"/>
      <c r="B271" s="14" t="str">
        <f>IF(A271="","",INDEX(proveedores[Proveedor],MATCH(A271,proveedores[Código],0)))</f>
        <v/>
      </c>
      <c r="C271" s="14" t="str">
        <f>IF(A271="","",INDEX(proveedores[Material],MATCH(A271,proveedores[Código],0)))</f>
        <v/>
      </c>
      <c r="D271" s="15" t="str">
        <f>IF(A271="","",INDEX(proveedores[Perfil],MATCH(A271,proveedores[Código],0)))</f>
        <v/>
      </c>
      <c r="E271" s="15" t="str">
        <f>IF(A271="","",IFERROR(INDEX(proveedores[Nivel de criticidad],MATCH(A271,proveedores[Código],0)),""))</f>
        <v/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5">
        <f t="shared" si="14"/>
        <v>100</v>
      </c>
      <c r="V271" s="12" t="str">
        <f t="shared" si="15"/>
        <v>Clase A++</v>
      </c>
    </row>
    <row r="272" spans="1:22" x14ac:dyDescent="0.2">
      <c r="A272" s="13"/>
      <c r="B272" s="14" t="str">
        <f>IF(A272="","",INDEX(proveedores[Proveedor],MATCH(A272,proveedores[Código],0)))</f>
        <v/>
      </c>
      <c r="C272" s="14" t="str">
        <f>IF(A272="","",INDEX(proveedores[Material],MATCH(A272,proveedores[Código],0)))</f>
        <v/>
      </c>
      <c r="D272" s="15" t="str">
        <f>IF(A272="","",INDEX(proveedores[Perfil],MATCH(A272,proveedores[Código],0)))</f>
        <v/>
      </c>
      <c r="E272" s="15" t="str">
        <f>IF(A272="","",IFERROR(INDEX(proveedores[Nivel de criticidad],MATCH(A272,proveedores[Código],0)),""))</f>
        <v/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5">
        <f t="shared" si="14"/>
        <v>100</v>
      </c>
      <c r="V272" s="12" t="str">
        <f t="shared" si="15"/>
        <v>Clase A++</v>
      </c>
    </row>
    <row r="273" spans="1:22" x14ac:dyDescent="0.2">
      <c r="A273" s="13"/>
      <c r="B273" s="14" t="str">
        <f>IF(A273="","",INDEX(proveedores[Proveedor],MATCH(A273,proveedores[Código],0)))</f>
        <v/>
      </c>
      <c r="C273" s="14" t="str">
        <f>IF(A273="","",INDEX(proveedores[Material],MATCH(A273,proveedores[Código],0)))</f>
        <v/>
      </c>
      <c r="D273" s="15" t="str">
        <f>IF(A273="","",INDEX(proveedores[Perfil],MATCH(A273,proveedores[Código],0)))</f>
        <v/>
      </c>
      <c r="E273" s="15" t="str">
        <f>IF(A273="","",IFERROR(INDEX(proveedores[Nivel de criticidad],MATCH(A273,proveedores[Código],0)),""))</f>
        <v/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5">
        <f t="shared" si="14"/>
        <v>100</v>
      </c>
      <c r="V273" s="12" t="str">
        <f t="shared" si="15"/>
        <v>Clase A++</v>
      </c>
    </row>
    <row r="274" spans="1:22" x14ac:dyDescent="0.2">
      <c r="A274" s="13"/>
      <c r="B274" s="14" t="str">
        <f>IF(A274="","",INDEX(proveedores[Proveedor],MATCH(A274,proveedores[Código],0)))</f>
        <v/>
      </c>
      <c r="C274" s="14" t="str">
        <f>IF(A274="","",INDEX(proveedores[Material],MATCH(A274,proveedores[Código],0)))</f>
        <v/>
      </c>
      <c r="D274" s="15" t="str">
        <f>IF(A274="","",INDEX(proveedores[Perfil],MATCH(A274,proveedores[Código],0)))</f>
        <v/>
      </c>
      <c r="E274" s="15" t="str">
        <f>IF(A274="","",IFERROR(INDEX(proveedores[Nivel de criticidad],MATCH(A274,proveedores[Código],0)),""))</f>
        <v/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5">
        <f t="shared" si="14"/>
        <v>100</v>
      </c>
      <c r="V274" s="12" t="str">
        <f t="shared" si="15"/>
        <v>Clase A++</v>
      </c>
    </row>
    <row r="275" spans="1:22" x14ac:dyDescent="0.2">
      <c r="A275" s="13"/>
      <c r="B275" s="14" t="str">
        <f>IF(A275="","",INDEX(proveedores[Proveedor],MATCH(A275,proveedores[Código],0)))</f>
        <v/>
      </c>
      <c r="C275" s="14" t="str">
        <f>IF(A275="","",INDEX(proveedores[Material],MATCH(A275,proveedores[Código],0)))</f>
        <v/>
      </c>
      <c r="D275" s="15" t="str">
        <f>IF(A275="","",INDEX(proveedores[Perfil],MATCH(A275,proveedores[Código],0)))</f>
        <v/>
      </c>
      <c r="E275" s="15" t="str">
        <f>IF(A275="","",IFERROR(INDEX(proveedores[Nivel de criticidad],MATCH(A275,proveedores[Código],0)),""))</f>
        <v/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5">
        <f t="shared" si="14"/>
        <v>100</v>
      </c>
      <c r="V275" s="12" t="str">
        <f t="shared" si="15"/>
        <v>Clase A++</v>
      </c>
    </row>
    <row r="276" spans="1:22" x14ac:dyDescent="0.2">
      <c r="A276" s="13"/>
      <c r="B276" s="14" t="str">
        <f>IF(A276="","",INDEX(proveedores[Proveedor],MATCH(A276,proveedores[Código],0)))</f>
        <v/>
      </c>
      <c r="C276" s="14" t="str">
        <f>IF(A276="","",INDEX(proveedores[Material],MATCH(A276,proveedores[Código],0)))</f>
        <v/>
      </c>
      <c r="D276" s="15" t="str">
        <f>IF(A276="","",INDEX(proveedores[Perfil],MATCH(A276,proveedores[Código],0)))</f>
        <v/>
      </c>
      <c r="E276" s="15" t="str">
        <f>IF(A276="","",IFERROR(INDEX(proveedores[Nivel de criticidad],MATCH(A276,proveedores[Código],0)),""))</f>
        <v/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5">
        <f t="shared" si="14"/>
        <v>100</v>
      </c>
      <c r="V276" s="12" t="str">
        <f t="shared" si="15"/>
        <v>Clase A++</v>
      </c>
    </row>
    <row r="277" spans="1:22" x14ac:dyDescent="0.2">
      <c r="A277" s="13"/>
      <c r="B277" s="14" t="str">
        <f>IF(A277="","",INDEX(proveedores[Proveedor],MATCH(A277,proveedores[Código],0)))</f>
        <v/>
      </c>
      <c r="C277" s="14" t="str">
        <f>IF(A277="","",INDEX(proveedores[Material],MATCH(A277,proveedores[Código],0)))</f>
        <v/>
      </c>
      <c r="D277" s="15" t="str">
        <f>IF(A277="","",INDEX(proveedores[Perfil],MATCH(A277,proveedores[Código],0)))</f>
        <v/>
      </c>
      <c r="E277" s="15" t="str">
        <f>IF(A277="","",IFERROR(INDEX(proveedores[Nivel de criticidad],MATCH(A277,proveedores[Código],0)),""))</f>
        <v/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5">
        <f t="shared" si="14"/>
        <v>100</v>
      </c>
      <c r="V277" s="12" t="str">
        <f t="shared" si="15"/>
        <v>Clase A++</v>
      </c>
    </row>
    <row r="278" spans="1:22" x14ac:dyDescent="0.2">
      <c r="A278" s="13"/>
      <c r="B278" s="14" t="str">
        <f>IF(A278="","",INDEX(proveedores[Proveedor],MATCH(A278,proveedores[Código],0)))</f>
        <v/>
      </c>
      <c r="C278" s="14" t="str">
        <f>IF(A278="","",INDEX(proveedores[Material],MATCH(A278,proveedores[Código],0)))</f>
        <v/>
      </c>
      <c r="D278" s="15" t="str">
        <f>IF(A278="","",INDEX(proveedores[Perfil],MATCH(A278,proveedores[Código],0)))</f>
        <v/>
      </c>
      <c r="E278" s="15" t="str">
        <f>IF(A278="","",IFERROR(INDEX(proveedores[Nivel de criticidad],MATCH(A278,proveedores[Código],0)),""))</f>
        <v/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5">
        <f t="shared" si="14"/>
        <v>100</v>
      </c>
      <c r="V278" s="12" t="str">
        <f t="shared" si="15"/>
        <v>Clase A++</v>
      </c>
    </row>
    <row r="279" spans="1:22" x14ac:dyDescent="0.2">
      <c r="A279" s="13"/>
      <c r="B279" s="14" t="str">
        <f>IF(A279="","",INDEX(proveedores[Proveedor],MATCH(A279,proveedores[Código],0)))</f>
        <v/>
      </c>
      <c r="C279" s="14" t="str">
        <f>IF(A279="","",INDEX(proveedores[Material],MATCH(A279,proveedores[Código],0)))</f>
        <v/>
      </c>
      <c r="D279" s="15" t="str">
        <f>IF(A279="","",INDEX(proveedores[Perfil],MATCH(A279,proveedores[Código],0)))</f>
        <v/>
      </c>
      <c r="E279" s="15" t="str">
        <f>IF(A279="","",IFERROR(INDEX(proveedores[Nivel de criticidad],MATCH(A279,proveedores[Código],0)),""))</f>
        <v/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5">
        <f t="shared" si="14"/>
        <v>100</v>
      </c>
      <c r="V279" s="12" t="str">
        <f t="shared" si="15"/>
        <v>Clase A++</v>
      </c>
    </row>
    <row r="280" spans="1:22" x14ac:dyDescent="0.2">
      <c r="A280" s="13"/>
      <c r="B280" s="14" t="str">
        <f>IF(A280="","",INDEX(proveedores[Proveedor],MATCH(A280,proveedores[Código],0)))</f>
        <v/>
      </c>
      <c r="C280" s="14" t="str">
        <f>IF(A280="","",INDEX(proveedores[Material],MATCH(A280,proveedores[Código],0)))</f>
        <v/>
      </c>
      <c r="D280" s="15" t="str">
        <f>IF(A280="","",INDEX(proveedores[Perfil],MATCH(A280,proveedores[Código],0)))</f>
        <v/>
      </c>
      <c r="E280" s="15" t="str">
        <f>IF(A280="","",IFERROR(INDEX(proveedores[Nivel de criticidad],MATCH(A280,proveedores[Código],0)),""))</f>
        <v/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5">
        <f t="shared" si="14"/>
        <v>100</v>
      </c>
      <c r="V280" s="12" t="str">
        <f t="shared" si="15"/>
        <v>Clase A++</v>
      </c>
    </row>
    <row r="281" spans="1:22" x14ac:dyDescent="0.2">
      <c r="A281" s="13"/>
      <c r="B281" s="14" t="str">
        <f>IF(A281="","",INDEX(proveedores[Proveedor],MATCH(A281,proveedores[Código],0)))</f>
        <v/>
      </c>
      <c r="C281" s="14" t="str">
        <f>IF(A281="","",INDEX(proveedores[Material],MATCH(A281,proveedores[Código],0)))</f>
        <v/>
      </c>
      <c r="D281" s="15" t="str">
        <f>IF(A281="","",INDEX(proveedores[Perfil],MATCH(A281,proveedores[Código],0)))</f>
        <v/>
      </c>
      <c r="E281" s="15" t="str">
        <f>IF(A281="","",IFERROR(INDEX(proveedores[Nivel de criticidad],MATCH(A281,proveedores[Código],0)),""))</f>
        <v/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5">
        <f t="shared" si="14"/>
        <v>100</v>
      </c>
      <c r="V281" s="12" t="str">
        <f t="shared" si="15"/>
        <v>Clase A++</v>
      </c>
    </row>
    <row r="282" spans="1:22" x14ac:dyDescent="0.2">
      <c r="A282" s="13"/>
      <c r="B282" s="14" t="str">
        <f>IF(A282="","",INDEX(proveedores[Proveedor],MATCH(A282,proveedores[Código],0)))</f>
        <v/>
      </c>
      <c r="C282" s="14" t="str">
        <f>IF(A282="","",INDEX(proveedores[Material],MATCH(A282,proveedores[Código],0)))</f>
        <v/>
      </c>
      <c r="D282" s="15" t="str">
        <f>IF(A282="","",INDEX(proveedores[Perfil],MATCH(A282,proveedores[Código],0)))</f>
        <v/>
      </c>
      <c r="E282" s="15" t="str">
        <f>IF(A282="","",IFERROR(INDEX(proveedores[Nivel de criticidad],MATCH(A282,proveedores[Código],0)),""))</f>
        <v/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5">
        <f t="shared" si="14"/>
        <v>100</v>
      </c>
      <c r="V282" s="12" t="str">
        <f t="shared" si="15"/>
        <v>Clase A++</v>
      </c>
    </row>
    <row r="283" spans="1:22" x14ac:dyDescent="0.2">
      <c r="A283" s="13"/>
      <c r="B283" s="14" t="str">
        <f>IF(A283="","",INDEX(proveedores[Proveedor],MATCH(A283,proveedores[Código],0)))</f>
        <v/>
      </c>
      <c r="C283" s="14" t="str">
        <f>IF(A283="","",INDEX(proveedores[Material],MATCH(A283,proveedores[Código],0)))</f>
        <v/>
      </c>
      <c r="D283" s="15" t="str">
        <f>IF(A283="","",INDEX(proveedores[Perfil],MATCH(A283,proveedores[Código],0)))</f>
        <v/>
      </c>
      <c r="E283" s="15" t="str">
        <f>IF(A283="","",IFERROR(INDEX(proveedores[Nivel de criticidad],MATCH(A283,proveedores[Código],0)),""))</f>
        <v/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5">
        <f t="shared" si="14"/>
        <v>100</v>
      </c>
      <c r="V283" s="12" t="str">
        <f t="shared" si="15"/>
        <v>Clase A++</v>
      </c>
    </row>
    <row r="284" spans="1:22" x14ac:dyDescent="0.2">
      <c r="A284" s="13"/>
      <c r="B284" s="14" t="str">
        <f>IF(A284="","",INDEX(proveedores[Proveedor],MATCH(A284,proveedores[Código],0)))</f>
        <v/>
      </c>
      <c r="C284" s="14" t="str">
        <f>IF(A284="","",INDEX(proveedores[Material],MATCH(A284,proveedores[Código],0)))</f>
        <v/>
      </c>
      <c r="D284" s="15" t="str">
        <f>IF(A284="","",INDEX(proveedores[Perfil],MATCH(A284,proveedores[Código],0)))</f>
        <v/>
      </c>
      <c r="E284" s="15" t="str">
        <f>IF(A284="","",IFERROR(INDEX(proveedores[Nivel de criticidad],MATCH(A284,proveedores[Código],0)),""))</f>
        <v/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5">
        <f t="shared" si="14"/>
        <v>100</v>
      </c>
      <c r="V284" s="12" t="str">
        <f t="shared" si="15"/>
        <v>Clase A++</v>
      </c>
    </row>
    <row r="285" spans="1:22" x14ac:dyDescent="0.2">
      <c r="A285" s="13"/>
      <c r="B285" s="14" t="str">
        <f>IF(A285="","",INDEX(proveedores[Proveedor],MATCH(A285,proveedores[Código],0)))</f>
        <v/>
      </c>
      <c r="C285" s="14" t="str">
        <f>IF(A285="","",INDEX(proveedores[Material],MATCH(A285,proveedores[Código],0)))</f>
        <v/>
      </c>
      <c r="D285" s="15" t="str">
        <f>IF(A285="","",INDEX(proveedores[Perfil],MATCH(A285,proveedores[Código],0)))</f>
        <v/>
      </c>
      <c r="E285" s="15" t="str">
        <f>IF(A285="","",IFERROR(INDEX(proveedores[Nivel de criticidad],MATCH(A285,proveedores[Código],0)),""))</f>
        <v/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5">
        <f t="shared" si="14"/>
        <v>100</v>
      </c>
      <c r="V285" s="12" t="str">
        <f t="shared" si="15"/>
        <v>Clase A++</v>
      </c>
    </row>
    <row r="286" spans="1:22" x14ac:dyDescent="0.2">
      <c r="A286" s="13"/>
      <c r="B286" s="14" t="str">
        <f>IF(A286="","",INDEX(proveedores[Proveedor],MATCH(A286,proveedores[Código],0)))</f>
        <v/>
      </c>
      <c r="C286" s="14" t="str">
        <f>IF(A286="","",INDEX(proveedores[Material],MATCH(A286,proveedores[Código],0)))</f>
        <v/>
      </c>
      <c r="D286" s="15" t="str">
        <f>IF(A286="","",INDEX(proveedores[Perfil],MATCH(A286,proveedores[Código],0)))</f>
        <v/>
      </c>
      <c r="E286" s="15" t="str">
        <f>IF(A286="","",IFERROR(INDEX(proveedores[Nivel de criticidad],MATCH(A286,proveedores[Código],0)),""))</f>
        <v/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5">
        <f t="shared" si="14"/>
        <v>100</v>
      </c>
      <c r="V286" s="12" t="str">
        <f t="shared" si="15"/>
        <v>Clase A++</v>
      </c>
    </row>
    <row r="287" spans="1:22" x14ac:dyDescent="0.2">
      <c r="A287" s="13"/>
      <c r="B287" s="14" t="str">
        <f>IF(A287="","",INDEX(proveedores[Proveedor],MATCH(A287,proveedores[Código],0)))</f>
        <v/>
      </c>
      <c r="C287" s="14" t="str">
        <f>IF(A287="","",INDEX(proveedores[Material],MATCH(A287,proveedores[Código],0)))</f>
        <v/>
      </c>
      <c r="D287" s="15" t="str">
        <f>IF(A287="","",INDEX(proveedores[Perfil],MATCH(A287,proveedores[Código],0)))</f>
        <v/>
      </c>
      <c r="E287" s="15" t="str">
        <f>IF(A287="","",IFERROR(INDEX(proveedores[Nivel de criticidad],MATCH(A287,proveedores[Código],0)),""))</f>
        <v/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5">
        <f t="shared" si="14"/>
        <v>100</v>
      </c>
      <c r="V287" s="12" t="str">
        <f t="shared" si="15"/>
        <v>Clase A++</v>
      </c>
    </row>
    <row r="288" spans="1:22" x14ac:dyDescent="0.2">
      <c r="A288" s="13"/>
      <c r="B288" s="14" t="str">
        <f>IF(A288="","",INDEX(proveedores[Proveedor],MATCH(A288,proveedores[Código],0)))</f>
        <v/>
      </c>
      <c r="C288" s="14" t="str">
        <f>IF(A288="","",INDEX(proveedores[Material],MATCH(A288,proveedores[Código],0)))</f>
        <v/>
      </c>
      <c r="D288" s="15" t="str">
        <f>IF(A288="","",INDEX(proveedores[Perfil],MATCH(A288,proveedores[Código],0)))</f>
        <v/>
      </c>
      <c r="E288" s="15" t="str">
        <f>IF(A288="","",IFERROR(INDEX(proveedores[Nivel de criticidad],MATCH(A288,proveedores[Código],0)),""))</f>
        <v/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5">
        <f t="shared" si="14"/>
        <v>100</v>
      </c>
      <c r="V288" s="12" t="str">
        <f t="shared" si="15"/>
        <v>Clase A++</v>
      </c>
    </row>
    <row r="289" spans="1:22" x14ac:dyDescent="0.2">
      <c r="A289" s="13"/>
      <c r="B289" s="14" t="str">
        <f>IF(A289="","",INDEX(proveedores[Proveedor],MATCH(A289,proveedores[Código],0)))</f>
        <v/>
      </c>
      <c r="C289" s="14" t="str">
        <f>IF(A289="","",INDEX(proveedores[Material],MATCH(A289,proveedores[Código],0)))</f>
        <v/>
      </c>
      <c r="D289" s="15" t="str">
        <f>IF(A289="","",INDEX(proveedores[Perfil],MATCH(A289,proveedores[Código],0)))</f>
        <v/>
      </c>
      <c r="E289" s="15" t="str">
        <f>IF(A289="","",IFERROR(INDEX(proveedores[Nivel de criticidad],MATCH(A289,proveedores[Código],0)),""))</f>
        <v/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5">
        <f t="shared" si="14"/>
        <v>100</v>
      </c>
      <c r="V289" s="12" t="str">
        <f t="shared" si="15"/>
        <v>Clase A++</v>
      </c>
    </row>
    <row r="290" spans="1:22" x14ac:dyDescent="0.2">
      <c r="A290" s="13"/>
      <c r="B290" s="14" t="str">
        <f>IF(A290="","",INDEX(proveedores[Proveedor],MATCH(A290,proveedores[Código],0)))</f>
        <v/>
      </c>
      <c r="C290" s="14" t="str">
        <f>IF(A290="","",INDEX(proveedores[Material],MATCH(A290,proveedores[Código],0)))</f>
        <v/>
      </c>
      <c r="D290" s="15" t="str">
        <f>IF(A290="","",INDEX(proveedores[Perfil],MATCH(A290,proveedores[Código],0)))</f>
        <v/>
      </c>
      <c r="E290" s="15" t="str">
        <f>IF(A290="","",IFERROR(INDEX(proveedores[Nivel de criticidad],MATCH(A290,proveedores[Código],0)),""))</f>
        <v/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5">
        <f t="shared" si="14"/>
        <v>100</v>
      </c>
      <c r="V290" s="12" t="str">
        <f t="shared" si="15"/>
        <v>Clase A++</v>
      </c>
    </row>
    <row r="291" spans="1:22" x14ac:dyDescent="0.2">
      <c r="A291" s="13"/>
      <c r="B291" s="14" t="str">
        <f>IF(A291="","",INDEX(proveedores[Proveedor],MATCH(A291,proveedores[Código],0)))</f>
        <v/>
      </c>
      <c r="C291" s="14" t="str">
        <f>IF(A291="","",INDEX(proveedores[Material],MATCH(A291,proveedores[Código],0)))</f>
        <v/>
      </c>
      <c r="D291" s="15" t="str">
        <f>IF(A291="","",INDEX(proveedores[Perfil],MATCH(A291,proveedores[Código],0)))</f>
        <v/>
      </c>
      <c r="E291" s="15" t="str">
        <f>IF(A291="","",IFERROR(INDEX(proveedores[Nivel de criticidad],MATCH(A291,proveedores[Código],0)),""))</f>
        <v/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5">
        <f t="shared" si="14"/>
        <v>100</v>
      </c>
      <c r="V291" s="12" t="str">
        <f t="shared" si="15"/>
        <v>Clase A++</v>
      </c>
    </row>
    <row r="292" spans="1:22" x14ac:dyDescent="0.2">
      <c r="A292" s="13"/>
      <c r="B292" s="14" t="str">
        <f>IF(A292="","",INDEX(proveedores[Proveedor],MATCH(A292,proveedores[Código],0)))</f>
        <v/>
      </c>
      <c r="C292" s="14" t="str">
        <f>IF(A292="","",INDEX(proveedores[Material],MATCH(A292,proveedores[Código],0)))</f>
        <v/>
      </c>
      <c r="D292" s="15" t="str">
        <f>IF(A292="","",INDEX(proveedores[Perfil],MATCH(A292,proveedores[Código],0)))</f>
        <v/>
      </c>
      <c r="E292" s="15" t="str">
        <f>IF(A292="","",IFERROR(INDEX(proveedores[Nivel de criticidad],MATCH(A292,proveedores[Código],0)),""))</f>
        <v/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5">
        <f t="shared" si="14"/>
        <v>100</v>
      </c>
      <c r="V292" s="12" t="str">
        <f t="shared" si="15"/>
        <v>Clase A++</v>
      </c>
    </row>
    <row r="293" spans="1:22" x14ac:dyDescent="0.2">
      <c r="A293" s="13"/>
      <c r="B293" s="14" t="str">
        <f>IF(A293="","",INDEX(proveedores[Proveedor],MATCH(A293,proveedores[Código],0)))</f>
        <v/>
      </c>
      <c r="C293" s="14" t="str">
        <f>IF(A293="","",INDEX(proveedores[Material],MATCH(A293,proveedores[Código],0)))</f>
        <v/>
      </c>
      <c r="D293" s="15" t="str">
        <f>IF(A293="","",INDEX(proveedores[Perfil],MATCH(A293,proveedores[Código],0)))</f>
        <v/>
      </c>
      <c r="E293" s="15" t="str">
        <f>IF(A293="","",IFERROR(INDEX(proveedores[Nivel de criticidad],MATCH(A293,proveedores[Código],0)),""))</f>
        <v/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5">
        <f t="shared" si="14"/>
        <v>100</v>
      </c>
      <c r="V293" s="12" t="str">
        <f t="shared" si="15"/>
        <v>Clase A++</v>
      </c>
    </row>
    <row r="294" spans="1:22" x14ac:dyDescent="0.2">
      <c r="A294" s="13"/>
      <c r="B294" s="14" t="str">
        <f>IF(A294="","",INDEX(proveedores[Proveedor],MATCH(A294,proveedores[Código],0)))</f>
        <v/>
      </c>
      <c r="C294" s="14" t="str">
        <f>IF(A294="","",INDEX(proveedores[Material],MATCH(A294,proveedores[Código],0)))</f>
        <v/>
      </c>
      <c r="D294" s="15" t="str">
        <f>IF(A294="","",INDEX(proveedores[Perfil],MATCH(A294,proveedores[Código],0)))</f>
        <v/>
      </c>
      <c r="E294" s="15" t="str">
        <f>IF(A294="","",IFERROR(INDEX(proveedores[Nivel de criticidad],MATCH(A294,proveedores[Código],0)),""))</f>
        <v/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5">
        <f t="shared" si="14"/>
        <v>100</v>
      </c>
      <c r="V294" s="12" t="str">
        <f t="shared" si="15"/>
        <v>Clase A++</v>
      </c>
    </row>
    <row r="295" spans="1:22" x14ac:dyDescent="0.2">
      <c r="A295" s="13"/>
      <c r="B295" s="14" t="str">
        <f>IF(A295="","",INDEX(proveedores[Proveedor],MATCH(A295,proveedores[Código],0)))</f>
        <v/>
      </c>
      <c r="C295" s="14" t="str">
        <f>IF(A295="","",INDEX(proveedores[Material],MATCH(A295,proveedores[Código],0)))</f>
        <v/>
      </c>
      <c r="D295" s="15" t="str">
        <f>IF(A295="","",INDEX(proveedores[Perfil],MATCH(A295,proveedores[Código],0)))</f>
        <v/>
      </c>
      <c r="E295" s="15" t="str">
        <f>IF(A295="","",IFERROR(INDEX(proveedores[Nivel de criticidad],MATCH(A295,proveedores[Código],0)),""))</f>
        <v/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5">
        <f t="shared" si="14"/>
        <v>100</v>
      </c>
      <c r="V295" s="12" t="str">
        <f t="shared" si="15"/>
        <v>Clase A++</v>
      </c>
    </row>
    <row r="296" spans="1:22" x14ac:dyDescent="0.2">
      <c r="A296" s="13"/>
      <c r="B296" s="14" t="str">
        <f>IF(A296="","",INDEX(proveedores[Proveedor],MATCH(A296,proveedores[Código],0)))</f>
        <v/>
      </c>
      <c r="C296" s="14" t="str">
        <f>IF(A296="","",INDEX(proveedores[Material],MATCH(A296,proveedores[Código],0)))</f>
        <v/>
      </c>
      <c r="D296" s="15" t="str">
        <f>IF(A296="","",INDEX(proveedores[Perfil],MATCH(A296,proveedores[Código],0)))</f>
        <v/>
      </c>
      <c r="E296" s="15" t="str">
        <f>IF(A296="","",IFERROR(INDEX(proveedores[Nivel de criticidad],MATCH(A296,proveedores[Código],0)),""))</f>
        <v/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5">
        <f t="shared" si="14"/>
        <v>100</v>
      </c>
      <c r="V296" s="12" t="str">
        <f t="shared" si="15"/>
        <v>Clase A++</v>
      </c>
    </row>
    <row r="297" spans="1:22" x14ac:dyDescent="0.2">
      <c r="A297" s="13"/>
      <c r="B297" s="14" t="str">
        <f>IF(A297="","",INDEX(proveedores[Proveedor],MATCH(A297,proveedores[Código],0)))</f>
        <v/>
      </c>
      <c r="C297" s="14" t="str">
        <f>IF(A297="","",INDEX(proveedores[Material],MATCH(A297,proveedores[Código],0)))</f>
        <v/>
      </c>
      <c r="D297" s="15" t="str">
        <f>IF(A297="","",INDEX(proveedores[Perfil],MATCH(A297,proveedores[Código],0)))</f>
        <v/>
      </c>
      <c r="E297" s="15" t="str">
        <f>IF(A297="","",IFERROR(INDEX(proveedores[Nivel de criticidad],MATCH(A297,proveedores[Código],0)),""))</f>
        <v/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5">
        <f t="shared" si="14"/>
        <v>100</v>
      </c>
      <c r="V297" s="12" t="str">
        <f t="shared" si="15"/>
        <v>Clase A++</v>
      </c>
    </row>
    <row r="298" spans="1:22" x14ac:dyDescent="0.2">
      <c r="A298" s="13"/>
      <c r="B298" s="14" t="str">
        <f>IF(A298="","",INDEX(proveedores[Proveedor],MATCH(A298,proveedores[Código],0)))</f>
        <v/>
      </c>
      <c r="C298" s="14" t="str">
        <f>IF(A298="","",INDEX(proveedores[Material],MATCH(A298,proveedores[Código],0)))</f>
        <v/>
      </c>
      <c r="D298" s="15" t="str">
        <f>IF(A298="","",INDEX(proveedores[Perfil],MATCH(A298,proveedores[Código],0)))</f>
        <v/>
      </c>
      <c r="E298" s="15" t="str">
        <f>IF(A298="","",IFERROR(INDEX(proveedores[Nivel de criticidad],MATCH(A298,proveedores[Código],0)),""))</f>
        <v/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5">
        <f t="shared" si="14"/>
        <v>100</v>
      </c>
      <c r="V298" s="12" t="str">
        <f t="shared" si="15"/>
        <v>Clase A++</v>
      </c>
    </row>
    <row r="299" spans="1:22" x14ac:dyDescent="0.2">
      <c r="A299" s="13"/>
      <c r="B299" s="14" t="str">
        <f>IF(A299="","",INDEX(proveedores[Proveedor],MATCH(A299,proveedores[Código],0)))</f>
        <v/>
      </c>
      <c r="C299" s="14" t="str">
        <f>IF(A299="","",INDEX(proveedores[Material],MATCH(A299,proveedores[Código],0)))</f>
        <v/>
      </c>
      <c r="D299" s="15" t="str">
        <f>IF(A299="","",INDEX(proveedores[Perfil],MATCH(A299,proveedores[Código],0)))</f>
        <v/>
      </c>
      <c r="E299" s="15" t="str">
        <f>IF(A299="","",IFERROR(INDEX(proveedores[Nivel de criticidad],MATCH(A299,proveedores[Código],0)),""))</f>
        <v/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5">
        <f t="shared" si="14"/>
        <v>100</v>
      </c>
      <c r="V299" s="12" t="str">
        <f t="shared" si="15"/>
        <v>Clase A++</v>
      </c>
    </row>
    <row r="300" spans="1:22" x14ac:dyDescent="0.2">
      <c r="A300" s="13"/>
      <c r="B300" s="14" t="str">
        <f>IF(A300="","",INDEX(proveedores[Proveedor],MATCH(A300,proveedores[Código],0)))</f>
        <v/>
      </c>
      <c r="C300" s="14" t="str">
        <f>IF(A300="","",INDEX(proveedores[Material],MATCH(A300,proveedores[Código],0)))</f>
        <v/>
      </c>
      <c r="D300" s="15" t="str">
        <f>IF(A300="","",INDEX(proveedores[Perfil],MATCH(A300,proveedores[Código],0)))</f>
        <v/>
      </c>
      <c r="E300" s="15" t="str">
        <f>IF(A300="","",IFERROR(INDEX(proveedores[Nivel de criticidad],MATCH(A300,proveedores[Código],0)),""))</f>
        <v/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5">
        <f t="shared" si="14"/>
        <v>100</v>
      </c>
      <c r="V300" s="12" t="str">
        <f t="shared" si="15"/>
        <v>Clase A++</v>
      </c>
    </row>
    <row r="301" spans="1:22" x14ac:dyDescent="0.2">
      <c r="A301" s="13"/>
      <c r="B301" s="14" t="str">
        <f>IF(A301="","",INDEX(proveedores[Proveedor],MATCH(A301,proveedores[Código],0)))</f>
        <v/>
      </c>
      <c r="C301" s="14" t="str">
        <f>IF(A301="","",INDEX(proveedores[Material],MATCH(A301,proveedores[Código],0)))</f>
        <v/>
      </c>
      <c r="D301" s="15" t="str">
        <f>IF(A301="","",INDEX(proveedores[Perfil],MATCH(A301,proveedores[Código],0)))</f>
        <v/>
      </c>
      <c r="E301" s="15" t="str">
        <f>IF(A301="","",IFERROR(INDEX(proveedores[Nivel de criticidad],MATCH(A301,proveedores[Código],0)),""))</f>
        <v/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5">
        <f t="shared" si="14"/>
        <v>100</v>
      </c>
      <c r="V301" s="12" t="str">
        <f t="shared" si="15"/>
        <v>Clase A++</v>
      </c>
    </row>
    <row r="302" spans="1:22" x14ac:dyDescent="0.2">
      <c r="A302" s="13"/>
      <c r="B302" s="14" t="str">
        <f>IF(A302="","",INDEX(proveedores[Proveedor],MATCH(A302,proveedores[Código],0)))</f>
        <v/>
      </c>
      <c r="C302" s="14" t="str">
        <f>IF(A302="","",INDEX(proveedores[Material],MATCH(A302,proveedores[Código],0)))</f>
        <v/>
      </c>
      <c r="D302" s="15" t="str">
        <f>IF(A302="","",INDEX(proveedores[Perfil],MATCH(A302,proveedores[Código],0)))</f>
        <v/>
      </c>
      <c r="E302" s="15" t="str">
        <f>IF(A302="","",IFERROR(INDEX(proveedores[Nivel de criticidad],MATCH(A302,proveedores[Código],0)),""))</f>
        <v/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5">
        <f t="shared" si="14"/>
        <v>100</v>
      </c>
      <c r="V302" s="12" t="str">
        <f t="shared" si="15"/>
        <v>Clase A++</v>
      </c>
    </row>
    <row r="303" spans="1:22" x14ac:dyDescent="0.2">
      <c r="A303" s="13"/>
      <c r="B303" s="14" t="str">
        <f>IF(A303="","",INDEX(proveedores[Proveedor],MATCH(A303,proveedores[Código],0)))</f>
        <v/>
      </c>
      <c r="C303" s="14" t="str">
        <f>IF(A303="","",INDEX(proveedores[Material],MATCH(A303,proveedores[Código],0)))</f>
        <v/>
      </c>
      <c r="D303" s="15" t="str">
        <f>IF(A303="","",INDEX(proveedores[Perfil],MATCH(A303,proveedores[Código],0)))</f>
        <v/>
      </c>
      <c r="E303" s="15" t="str">
        <f>IF(A303="","",IFERROR(INDEX(proveedores[Nivel de criticidad],MATCH(A303,proveedores[Código],0)),""))</f>
        <v/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5">
        <f t="shared" si="14"/>
        <v>100</v>
      </c>
      <c r="V303" s="12" t="str">
        <f t="shared" si="15"/>
        <v>Clase A++</v>
      </c>
    </row>
    <row r="304" spans="1:22" x14ac:dyDescent="0.2">
      <c r="A304" s="13"/>
      <c r="B304" s="14" t="str">
        <f>IF(A304="","",INDEX(proveedores[Proveedor],MATCH(A304,proveedores[Código],0)))</f>
        <v/>
      </c>
      <c r="C304" s="14" t="str">
        <f>IF(A304="","",INDEX(proveedores[Material],MATCH(A304,proveedores[Código],0)))</f>
        <v/>
      </c>
      <c r="D304" s="15" t="str">
        <f>IF(A304="","",INDEX(proveedores[Perfil],MATCH(A304,proveedores[Código],0)))</f>
        <v/>
      </c>
      <c r="E304" s="15" t="str">
        <f>IF(A304="","",IFERROR(INDEX(proveedores[Nivel de criticidad],MATCH(A304,proveedores[Código],0)),""))</f>
        <v/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5">
        <f t="shared" si="14"/>
        <v>100</v>
      </c>
      <c r="V304" s="12" t="str">
        <f t="shared" si="15"/>
        <v>Clase A++</v>
      </c>
    </row>
    <row r="305" spans="1:22" x14ac:dyDescent="0.2">
      <c r="A305" s="13"/>
      <c r="B305" s="14" t="str">
        <f>IF(A305="","",INDEX(proveedores[Proveedor],MATCH(A305,proveedores[Código],0)))</f>
        <v/>
      </c>
      <c r="C305" s="14" t="str">
        <f>IF(A305="","",INDEX(proveedores[Material],MATCH(A305,proveedores[Código],0)))</f>
        <v/>
      </c>
      <c r="D305" s="15" t="str">
        <f>IF(A305="","",INDEX(proveedores[Perfil],MATCH(A305,proveedores[Código],0)))</f>
        <v/>
      </c>
      <c r="E305" s="15" t="str">
        <f>IF(A305="","",IFERROR(INDEX(proveedores[Nivel de criticidad],MATCH(A305,proveedores[Código],0)),""))</f>
        <v/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5">
        <f t="shared" si="14"/>
        <v>100</v>
      </c>
      <c r="V305" s="12" t="str">
        <f t="shared" si="15"/>
        <v>Clase A++</v>
      </c>
    </row>
    <row r="306" spans="1:22" x14ac:dyDescent="0.2">
      <c r="A306" s="13"/>
      <c r="B306" s="14" t="str">
        <f>IF(A306="","",INDEX(proveedores[Proveedor],MATCH(A306,proveedores[Código],0)))</f>
        <v/>
      </c>
      <c r="C306" s="14" t="str">
        <f>IF(A306="","",INDEX(proveedores[Material],MATCH(A306,proveedores[Código],0)))</f>
        <v/>
      </c>
      <c r="D306" s="15" t="str">
        <f>IF(A306="","",INDEX(proveedores[Perfil],MATCH(A306,proveedores[Código],0)))</f>
        <v/>
      </c>
      <c r="E306" s="15" t="str">
        <f>IF(A306="","",IFERROR(INDEX(proveedores[Nivel de criticidad],MATCH(A306,proveedores[Código],0)),""))</f>
        <v/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5">
        <f t="shared" si="14"/>
        <v>100</v>
      </c>
      <c r="V306" s="12" t="str">
        <f t="shared" si="15"/>
        <v>Clase A++</v>
      </c>
    </row>
    <row r="307" spans="1:22" x14ac:dyDescent="0.2">
      <c r="A307" s="13"/>
      <c r="B307" s="14" t="str">
        <f>IF(A307="","",INDEX(proveedores[Proveedor],MATCH(A307,proveedores[Código],0)))</f>
        <v/>
      </c>
      <c r="C307" s="14" t="str">
        <f>IF(A307="","",INDEX(proveedores[Material],MATCH(A307,proveedores[Código],0)))</f>
        <v/>
      </c>
      <c r="D307" s="15" t="str">
        <f>IF(A307="","",INDEX(proveedores[Perfil],MATCH(A307,proveedores[Código],0)))</f>
        <v/>
      </c>
      <c r="E307" s="15" t="str">
        <f>IF(A307="","",IFERROR(INDEX(proveedores[Nivel de criticidad],MATCH(A307,proveedores[Código],0)),""))</f>
        <v/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5">
        <f t="shared" si="14"/>
        <v>100</v>
      </c>
      <c r="V307" s="12" t="str">
        <f t="shared" si="15"/>
        <v>Clase A++</v>
      </c>
    </row>
    <row r="308" spans="1:22" x14ac:dyDescent="0.2">
      <c r="A308" s="13"/>
      <c r="B308" s="14" t="str">
        <f>IF(A308="","",INDEX(proveedores[Proveedor],MATCH(A308,proveedores[Código],0)))</f>
        <v/>
      </c>
      <c r="C308" s="14" t="str">
        <f>IF(A308="","",INDEX(proveedores[Material],MATCH(A308,proveedores[Código],0)))</f>
        <v/>
      </c>
      <c r="D308" s="15" t="str">
        <f>IF(A308="","",INDEX(proveedores[Perfil],MATCH(A308,proveedores[Código],0)))</f>
        <v/>
      </c>
      <c r="E308" s="15" t="str">
        <f>IF(A308="","",IFERROR(INDEX(proveedores[Nivel de criticidad],MATCH(A308,proveedores[Código],0)),""))</f>
        <v/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5">
        <f t="shared" si="14"/>
        <v>100</v>
      </c>
      <c r="V308" s="12" t="str">
        <f t="shared" si="15"/>
        <v>Clase A++</v>
      </c>
    </row>
    <row r="309" spans="1:22" x14ac:dyDescent="0.2">
      <c r="A309" s="13"/>
      <c r="B309" s="14" t="str">
        <f>IF(A309="","",INDEX(proveedores[Proveedor],MATCH(A309,proveedores[Código],0)))</f>
        <v/>
      </c>
      <c r="C309" s="14" t="str">
        <f>IF(A309="","",INDEX(proveedores[Material],MATCH(A309,proveedores[Código],0)))</f>
        <v/>
      </c>
      <c r="D309" s="15" t="str">
        <f>IF(A309="","",INDEX(proveedores[Perfil],MATCH(A309,proveedores[Código],0)))</f>
        <v/>
      </c>
      <c r="E309" s="15" t="str">
        <f>IF(A309="","",IFERROR(INDEX(proveedores[Nivel de criticidad],MATCH(A309,proveedores[Código],0)),""))</f>
        <v/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5">
        <f t="shared" si="14"/>
        <v>100</v>
      </c>
      <c r="V309" s="12" t="str">
        <f t="shared" si="15"/>
        <v>Clase A++</v>
      </c>
    </row>
    <row r="310" spans="1:22" x14ac:dyDescent="0.2">
      <c r="A310" s="13"/>
      <c r="B310" s="14" t="str">
        <f>IF(A310="","",INDEX(proveedores[Proveedor],MATCH(A310,proveedores[Código],0)))</f>
        <v/>
      </c>
      <c r="C310" s="14" t="str">
        <f>IF(A310="","",INDEX(proveedores[Material],MATCH(A310,proveedores[Código],0)))</f>
        <v/>
      </c>
      <c r="D310" s="15" t="str">
        <f>IF(A310="","",INDEX(proveedores[Perfil],MATCH(A310,proveedores[Código],0)))</f>
        <v/>
      </c>
      <c r="E310" s="15" t="str">
        <f>IF(A310="","",IFERROR(INDEX(proveedores[Nivel de criticidad],MATCH(A310,proveedores[Código],0)),""))</f>
        <v/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5">
        <f t="shared" si="14"/>
        <v>100</v>
      </c>
      <c r="V310" s="12" t="str">
        <f t="shared" si="15"/>
        <v>Clase A++</v>
      </c>
    </row>
    <row r="311" spans="1:22" x14ac:dyDescent="0.2">
      <c r="A311" s="13"/>
      <c r="B311" s="14" t="str">
        <f>IF(A311="","",INDEX(proveedores[Proveedor],MATCH(A311,proveedores[Código],0)))</f>
        <v/>
      </c>
      <c r="C311" s="14" t="str">
        <f>IF(A311="","",INDEX(proveedores[Material],MATCH(A311,proveedores[Código],0)))</f>
        <v/>
      </c>
      <c r="D311" s="15" t="str">
        <f>IF(A311="","",INDEX(proveedores[Perfil],MATCH(A311,proveedores[Código],0)))</f>
        <v/>
      </c>
      <c r="E311" s="15" t="str">
        <f>IF(A311="","",IFERROR(INDEX(proveedores[Nivel de criticidad],MATCH(A311,proveedores[Código],0)),""))</f>
        <v/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5">
        <f t="shared" si="14"/>
        <v>100</v>
      </c>
      <c r="V311" s="12" t="str">
        <f t="shared" si="15"/>
        <v>Clase A++</v>
      </c>
    </row>
    <row r="312" spans="1:22" x14ac:dyDescent="0.2">
      <c r="A312" s="13"/>
      <c r="B312" s="14" t="str">
        <f>IF(A312="","",INDEX(proveedores[Proveedor],MATCH(A312,proveedores[Código],0)))</f>
        <v/>
      </c>
      <c r="C312" s="14" t="str">
        <f>IF(A312="","",INDEX(proveedores[Material],MATCH(A312,proveedores[Código],0)))</f>
        <v/>
      </c>
      <c r="D312" s="15" t="str">
        <f>IF(A312="","",INDEX(proveedores[Perfil],MATCH(A312,proveedores[Código],0)))</f>
        <v/>
      </c>
      <c r="E312" s="15" t="str">
        <f>IF(A312="","",IFERROR(INDEX(proveedores[Nivel de criticidad],MATCH(A312,proveedores[Código],0)),""))</f>
        <v/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5">
        <f t="shared" si="14"/>
        <v>100</v>
      </c>
      <c r="V312" s="12" t="str">
        <f t="shared" si="15"/>
        <v>Clase A++</v>
      </c>
    </row>
    <row r="313" spans="1:22" x14ac:dyDescent="0.2">
      <c r="A313" s="13"/>
      <c r="B313" s="14" t="str">
        <f>IF(A313="","",INDEX(proveedores[Proveedor],MATCH(A313,proveedores[Código],0)))</f>
        <v/>
      </c>
      <c r="C313" s="14" t="str">
        <f>IF(A313="","",INDEX(proveedores[Material],MATCH(A313,proveedores[Código],0)))</f>
        <v/>
      </c>
      <c r="D313" s="15" t="str">
        <f>IF(A313="","",INDEX(proveedores[Perfil],MATCH(A313,proveedores[Código],0)))</f>
        <v/>
      </c>
      <c r="E313" s="15" t="str">
        <f>IF(A313="","",IFERROR(INDEX(proveedores[Nivel de criticidad],MATCH(A313,proveedores[Código],0)),""))</f>
        <v/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5">
        <f t="shared" si="14"/>
        <v>100</v>
      </c>
      <c r="V313" s="12" t="str">
        <f t="shared" si="15"/>
        <v>Clase A++</v>
      </c>
    </row>
    <row r="314" spans="1:22" x14ac:dyDescent="0.2">
      <c r="A314" s="13"/>
      <c r="B314" s="14" t="str">
        <f>IF(A314="","",INDEX(proveedores[Proveedor],MATCH(A314,proveedores[Código],0)))</f>
        <v/>
      </c>
      <c r="C314" s="14" t="str">
        <f>IF(A314="","",INDEX(proveedores[Material],MATCH(A314,proveedores[Código],0)))</f>
        <v/>
      </c>
      <c r="D314" s="15" t="str">
        <f>IF(A314="","",INDEX(proveedores[Perfil],MATCH(A314,proveedores[Código],0)))</f>
        <v/>
      </c>
      <c r="E314" s="15" t="str">
        <f>IF(A314="","",IFERROR(INDEX(proveedores[Nivel de criticidad],MATCH(A314,proveedores[Código],0)),""))</f>
        <v/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5">
        <f t="shared" si="14"/>
        <v>100</v>
      </c>
      <c r="V314" s="12" t="str">
        <f t="shared" si="15"/>
        <v>Clase A++</v>
      </c>
    </row>
    <row r="315" spans="1:22" x14ac:dyDescent="0.2">
      <c r="A315" s="13"/>
      <c r="B315" s="14" t="str">
        <f>IF(A315="","",INDEX(proveedores[Proveedor],MATCH(A315,proveedores[Código],0)))</f>
        <v/>
      </c>
      <c r="C315" s="14" t="str">
        <f>IF(A315="","",INDEX(proveedores[Material],MATCH(A315,proveedores[Código],0)))</f>
        <v/>
      </c>
      <c r="D315" s="15" t="str">
        <f>IF(A315="","",INDEX(proveedores[Perfil],MATCH(A315,proveedores[Código],0)))</f>
        <v/>
      </c>
      <c r="E315" s="15" t="str">
        <f>IF(A315="","",IFERROR(INDEX(proveedores[Nivel de criticidad],MATCH(A315,proveedores[Código],0)),""))</f>
        <v/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5">
        <f t="shared" si="14"/>
        <v>100</v>
      </c>
      <c r="V315" s="12" t="str">
        <f t="shared" si="15"/>
        <v>Clase A++</v>
      </c>
    </row>
    <row r="316" spans="1:22" x14ac:dyDescent="0.2">
      <c r="A316" s="13"/>
      <c r="B316" s="14" t="str">
        <f>IF(A316="","",INDEX(proveedores[Proveedor],MATCH(A316,proveedores[Código],0)))</f>
        <v/>
      </c>
      <c r="C316" s="14" t="str">
        <f>IF(A316="","",INDEX(proveedores[Material],MATCH(A316,proveedores[Código],0)))</f>
        <v/>
      </c>
      <c r="D316" s="15" t="str">
        <f>IF(A316="","",INDEX(proveedores[Perfil],MATCH(A316,proveedores[Código],0)))</f>
        <v/>
      </c>
      <c r="E316" s="15" t="str">
        <f>IF(A316="","",IFERROR(INDEX(proveedores[Nivel de criticidad],MATCH(A316,proveedores[Código],0)),""))</f>
        <v/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5">
        <f t="shared" si="14"/>
        <v>100</v>
      </c>
      <c r="V316" s="12" t="str">
        <f t="shared" si="15"/>
        <v>Clase A++</v>
      </c>
    </row>
    <row r="317" spans="1:22" x14ac:dyDescent="0.2">
      <c r="A317" s="13"/>
      <c r="B317" s="14" t="str">
        <f>IF(A317="","",INDEX(proveedores[Proveedor],MATCH(A317,proveedores[Código],0)))</f>
        <v/>
      </c>
      <c r="C317" s="14" t="str">
        <f>IF(A317="","",INDEX(proveedores[Material],MATCH(A317,proveedores[Código],0)))</f>
        <v/>
      </c>
      <c r="D317" s="15" t="str">
        <f>IF(A317="","",INDEX(proveedores[Perfil],MATCH(A317,proveedores[Código],0)))</f>
        <v/>
      </c>
      <c r="E317" s="15" t="str">
        <f>IF(A317="","",IFERROR(INDEX(proveedores[Nivel de criticidad],MATCH(A317,proveedores[Código],0)),""))</f>
        <v/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5">
        <f t="shared" si="14"/>
        <v>100</v>
      </c>
      <c r="V317" s="12" t="str">
        <f t="shared" si="15"/>
        <v>Clase A++</v>
      </c>
    </row>
    <row r="318" spans="1:22" x14ac:dyDescent="0.2">
      <c r="A318" s="13"/>
      <c r="B318" s="14" t="str">
        <f>IF(A318="","",INDEX(proveedores[Proveedor],MATCH(A318,proveedores[Código],0)))</f>
        <v/>
      </c>
      <c r="C318" s="14" t="str">
        <f>IF(A318="","",INDEX(proveedores[Material],MATCH(A318,proveedores[Código],0)))</f>
        <v/>
      </c>
      <c r="D318" s="15" t="str">
        <f>IF(A318="","",INDEX(proveedores[Perfil],MATCH(A318,proveedores[Código],0)))</f>
        <v/>
      </c>
      <c r="E318" s="15" t="str">
        <f>IF(A318="","",IFERROR(INDEX(proveedores[Nivel de criticidad],MATCH(A318,proveedores[Código],0)),""))</f>
        <v/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5">
        <f t="shared" si="14"/>
        <v>100</v>
      </c>
      <c r="V318" s="12" t="str">
        <f t="shared" si="15"/>
        <v>Clase A++</v>
      </c>
    </row>
    <row r="319" spans="1:22" x14ac:dyDescent="0.2">
      <c r="A319" s="13"/>
      <c r="B319" s="14" t="str">
        <f>IF(A319="","",INDEX(proveedores[Proveedor],MATCH(A319,proveedores[Código],0)))</f>
        <v/>
      </c>
      <c r="C319" s="14" t="str">
        <f>IF(A319="","",INDEX(proveedores[Material],MATCH(A319,proveedores[Código],0)))</f>
        <v/>
      </c>
      <c r="D319" s="15" t="str">
        <f>IF(A319="","",INDEX(proveedores[Perfil],MATCH(A319,proveedores[Código],0)))</f>
        <v/>
      </c>
      <c r="E319" s="15" t="str">
        <f>IF(A319="","",IFERROR(INDEX(proveedores[Nivel de criticidad],MATCH(A319,proveedores[Código],0)),""))</f>
        <v/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5">
        <f t="shared" si="14"/>
        <v>100</v>
      </c>
      <c r="V319" s="12" t="str">
        <f t="shared" si="15"/>
        <v>Clase A++</v>
      </c>
    </row>
    <row r="320" spans="1:22" x14ac:dyDescent="0.2">
      <c r="A320" s="13"/>
      <c r="B320" s="14" t="str">
        <f>IF(A320="","",INDEX(proveedores[Proveedor],MATCH(A320,proveedores[Código],0)))</f>
        <v/>
      </c>
      <c r="C320" s="14" t="str">
        <f>IF(A320="","",INDEX(proveedores[Material],MATCH(A320,proveedores[Código],0)))</f>
        <v/>
      </c>
      <c r="D320" s="15" t="str">
        <f>IF(A320="","",INDEX(proveedores[Perfil],MATCH(A320,proveedores[Código],0)))</f>
        <v/>
      </c>
      <c r="E320" s="15" t="str">
        <f>IF(A320="","",IFERROR(INDEX(proveedores[Nivel de criticidad],MATCH(A320,proveedores[Código],0)),""))</f>
        <v/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5">
        <f t="shared" si="14"/>
        <v>100</v>
      </c>
      <c r="V320" s="12" t="str">
        <f t="shared" si="15"/>
        <v>Clase A++</v>
      </c>
    </row>
    <row r="321" spans="1:22" x14ac:dyDescent="0.2">
      <c r="A321" s="13"/>
      <c r="B321" s="14" t="str">
        <f>IF(A321="","",INDEX(proveedores[Proveedor],MATCH(A321,proveedores[Código],0)))</f>
        <v/>
      </c>
      <c r="C321" s="14" t="str">
        <f>IF(A321="","",INDEX(proveedores[Material],MATCH(A321,proveedores[Código],0)))</f>
        <v/>
      </c>
      <c r="D321" s="15" t="str">
        <f>IF(A321="","",INDEX(proveedores[Perfil],MATCH(A321,proveedores[Código],0)))</f>
        <v/>
      </c>
      <c r="E321" s="15" t="str">
        <f>IF(A321="","",IFERROR(INDEX(proveedores[Nivel de criticidad],MATCH(A321,proveedores[Código],0)),""))</f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5">
        <f t="shared" si="14"/>
        <v>100</v>
      </c>
      <c r="V321" s="12" t="str">
        <f t="shared" si="15"/>
        <v>Clase A++</v>
      </c>
    </row>
    <row r="322" spans="1:22" x14ac:dyDescent="0.2">
      <c r="A322" s="13"/>
      <c r="B322" s="14" t="str">
        <f>IF(A322="","",INDEX(proveedores[Proveedor],MATCH(A322,proveedores[Código],0)))</f>
        <v/>
      </c>
      <c r="C322" s="14" t="str">
        <f>IF(A322="","",INDEX(proveedores[Material],MATCH(A322,proveedores[Código],0)))</f>
        <v/>
      </c>
      <c r="D322" s="15" t="str">
        <f>IF(A322="","",INDEX(proveedores[Perfil],MATCH(A322,proveedores[Código],0)))</f>
        <v/>
      </c>
      <c r="E322" s="15" t="str">
        <f>IF(A322="","",IFERROR(INDEX(proveedores[Nivel de criticidad],MATCH(A322,proveedores[Código],0)),""))</f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5">
        <f t="shared" si="14"/>
        <v>100</v>
      </c>
      <c r="V322" s="12" t="str">
        <f t="shared" si="15"/>
        <v>Clase A++</v>
      </c>
    </row>
    <row r="323" spans="1:22" x14ac:dyDescent="0.2">
      <c r="A323" s="13"/>
      <c r="B323" s="14" t="str">
        <f>IF(A323="","",INDEX(proveedores[Proveedor],MATCH(A323,proveedores[Código],0)))</f>
        <v/>
      </c>
      <c r="C323" s="14" t="str">
        <f>IF(A323="","",INDEX(proveedores[Material],MATCH(A323,proveedores[Código],0)))</f>
        <v/>
      </c>
      <c r="D323" s="15" t="str">
        <f>IF(A323="","",INDEX(proveedores[Perfil],MATCH(A323,proveedores[Código],0)))</f>
        <v/>
      </c>
      <c r="E323" s="15" t="str">
        <f>IF(A323="","",IFERROR(INDEX(proveedores[Nivel de criticidad],MATCH(A323,proveedores[Código],0)),""))</f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5">
        <f t="shared" si="14"/>
        <v>100</v>
      </c>
      <c r="V323" s="12" t="str">
        <f t="shared" si="15"/>
        <v>Clase A++</v>
      </c>
    </row>
    <row r="324" spans="1:22" x14ac:dyDescent="0.2">
      <c r="A324" s="13"/>
      <c r="B324" s="14" t="str">
        <f>IF(A324="","",INDEX(proveedores[Proveedor],MATCH(A324,proveedores[Código],0)))</f>
        <v/>
      </c>
      <c r="C324" s="14" t="str">
        <f>IF(A324="","",INDEX(proveedores[Material],MATCH(A324,proveedores[Código],0)))</f>
        <v/>
      </c>
      <c r="D324" s="15" t="str">
        <f>IF(A324="","",INDEX(proveedores[Perfil],MATCH(A324,proveedores[Código],0)))</f>
        <v/>
      </c>
      <c r="E324" s="15" t="str">
        <f>IF(A324="","",IFERROR(INDEX(proveedores[Nivel de criticidad],MATCH(A324,proveedores[Código],0)),""))</f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5">
        <f t="shared" si="14"/>
        <v>100</v>
      </c>
      <c r="V324" s="12" t="str">
        <f t="shared" si="15"/>
        <v>Clase A++</v>
      </c>
    </row>
    <row r="325" spans="1:22" x14ac:dyDescent="0.2">
      <c r="A325" s="13"/>
      <c r="B325" s="14" t="str">
        <f>IF(A325="","",INDEX(proveedores[Proveedor],MATCH(A325,proveedores[Código],0)))</f>
        <v/>
      </c>
      <c r="C325" s="14" t="str">
        <f>IF(A325="","",INDEX(proveedores[Material],MATCH(A325,proveedores[Código],0)))</f>
        <v/>
      </c>
      <c r="D325" s="15" t="str">
        <f>IF(A325="","",INDEX(proveedores[Perfil],MATCH(A325,proveedores[Código],0)))</f>
        <v/>
      </c>
      <c r="E325" s="15" t="str">
        <f>IF(A325="","",IFERROR(INDEX(proveedores[Nivel de criticidad],MATCH(A325,proveedores[Código],0)),""))</f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5">
        <f t="shared" si="14"/>
        <v>100</v>
      </c>
      <c r="V325" s="12" t="str">
        <f t="shared" si="15"/>
        <v>Clase A++</v>
      </c>
    </row>
    <row r="326" spans="1:22" x14ac:dyDescent="0.2">
      <c r="A326" s="13"/>
      <c r="B326" s="14" t="str">
        <f>IF(A326="","",INDEX(proveedores[Proveedor],MATCH(A326,proveedores[Código],0)))</f>
        <v/>
      </c>
      <c r="C326" s="14" t="str">
        <f>IF(A326="","",INDEX(proveedores[Material],MATCH(A326,proveedores[Código],0)))</f>
        <v/>
      </c>
      <c r="D326" s="15" t="str">
        <f>IF(A326="","",INDEX(proveedores[Perfil],MATCH(A326,proveedores[Código],0)))</f>
        <v/>
      </c>
      <c r="E326" s="15" t="str">
        <f>IF(A326="","",IFERROR(INDEX(proveedores[Nivel de criticidad],MATCH(A326,proveedores[Código],0)),""))</f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5">
        <f t="shared" ref="U326:U389" si="16">IF(D326="Internacional", MIN(IF(((F326*10)+(G326*3)+(H326*4)+(I326*5)+(J326*8)+(O326*5)+(P326*2)+IF(L326="N/A",0,(L326*10)+(M326*5)+(N326*3)))&gt;0,98,100), ((MAX(0, 30 - (F326*10) - (G326*3))/30)*45) + ((MAX(0, 25 - (H326*4) - (I326*5) - (J326*8) - (K326*5))/25)*35) + ((MAX(0, 15 - (O326*5) - (P326*2))/15)*20) + (IF(Q326="N/A",0,Q326)*2.5) + (IF(R326="N/A",0,R326)*2.5) + (IF(S326="N/A",0,S326)*2.5) + (IF(T326="N/A",0,T326)*2.5)), IF(D326="Local Insumos", MIN(IF(((F326*10)+(G326*3)+(H326*4)+(I326*5)+(J326*8)+(O326*5)+(P326*2)+IF(L326="N/A",0,(L326*10)+(M326*5)+(N326*3)))&gt;0,98,100), ((MAX(0, 30 - (F326*10) - (G326*3))/30)*35) + ((MAX(0, 25 - (H326*4) - (I326*5) - (J326*8) - (K326*5))/25)*30) + MAX(0, 20 - (L326*10) - (M326*5) - (N326*3)) + MAX(0, 15 - (O326*5) - (P326*2)) + (IF(Q326="N/A",0,Q326)*2.5) + (IF(R326="N/A",0,R326)*2.5) + (IF(S326="N/A",0,S326)*2.5) + (IF(T326="N/A",0,T326)*2.5)), MIN(IF(((F326*10)+(G326*3)+(H326*4)+(I326*5)+(J326*8)+(O326*5)+(P326*2)+IF(L326="N/A",0,(L326*10)+(M326*5)+(N326*3)))&gt;0,98,100), ((MAX(0, 25 - (H326*4) - (I326*5) - (J326*8) - (K326*5))/25)*55) + ((MAX(0, 20 - (L326*10) - (M326*5) - (N326*3))/20)*30) + ((MAX(0, 15 - (O326*5) - (P326*2))/15)*15))))</f>
        <v>100</v>
      </c>
      <c r="V326" s="12" t="str">
        <f t="shared" si="15"/>
        <v>Clase A++</v>
      </c>
    </row>
    <row r="327" spans="1:22" x14ac:dyDescent="0.2">
      <c r="A327" s="13"/>
      <c r="B327" s="14" t="str">
        <f>IF(A327="","",INDEX(proveedores[Proveedor],MATCH(A327,proveedores[Código],0)))</f>
        <v/>
      </c>
      <c r="C327" s="14" t="str">
        <f>IF(A327="","",INDEX(proveedores[Material],MATCH(A327,proveedores[Código],0)))</f>
        <v/>
      </c>
      <c r="D327" s="15" t="str">
        <f>IF(A327="","",INDEX(proveedores[Perfil],MATCH(A327,proveedores[Código],0)))</f>
        <v/>
      </c>
      <c r="E327" s="15" t="str">
        <f>IF(A327="","",IFERROR(INDEX(proveedores[Nivel de criticidad],MATCH(A327,proveedores[Código],0)),""))</f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5">
        <f t="shared" si="16"/>
        <v>100</v>
      </c>
      <c r="V327" s="12" t="str">
        <f t="shared" ref="V327:V390" si="17">IF(U327&gt;=96, "Clase A++", IF(U327&gt;=85, "Clase A", IF(U327&gt;=70, "Clase B", "Clase C")))</f>
        <v>Clase A++</v>
      </c>
    </row>
    <row r="328" spans="1:22" x14ac:dyDescent="0.2">
      <c r="A328" s="13"/>
      <c r="B328" s="14" t="str">
        <f>IF(A328="","",INDEX(proveedores[Proveedor],MATCH(A328,proveedores[Código],0)))</f>
        <v/>
      </c>
      <c r="C328" s="14" t="str">
        <f>IF(A328="","",INDEX(proveedores[Material],MATCH(A328,proveedores[Código],0)))</f>
        <v/>
      </c>
      <c r="D328" s="15" t="str">
        <f>IF(A328="","",INDEX(proveedores[Perfil],MATCH(A328,proveedores[Código],0)))</f>
        <v/>
      </c>
      <c r="E328" s="15" t="str">
        <f>IF(A328="","",IFERROR(INDEX(proveedores[Nivel de criticidad],MATCH(A328,proveedores[Código],0)),""))</f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5">
        <f t="shared" si="16"/>
        <v>100</v>
      </c>
      <c r="V328" s="12" t="str">
        <f t="shared" si="17"/>
        <v>Clase A++</v>
      </c>
    </row>
    <row r="329" spans="1:22" x14ac:dyDescent="0.2">
      <c r="A329" s="13"/>
      <c r="B329" s="14" t="str">
        <f>IF(A329="","",INDEX(proveedores[Proveedor],MATCH(A329,proveedores[Código],0)))</f>
        <v/>
      </c>
      <c r="C329" s="14" t="str">
        <f>IF(A329="","",INDEX(proveedores[Material],MATCH(A329,proveedores[Código],0)))</f>
        <v/>
      </c>
      <c r="D329" s="15" t="str">
        <f>IF(A329="","",INDEX(proveedores[Perfil],MATCH(A329,proveedores[Código],0)))</f>
        <v/>
      </c>
      <c r="E329" s="15" t="str">
        <f>IF(A329="","",IFERROR(INDEX(proveedores[Nivel de criticidad],MATCH(A329,proveedores[Código],0)),""))</f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5">
        <f t="shared" si="16"/>
        <v>100</v>
      </c>
      <c r="V329" s="12" t="str">
        <f t="shared" si="17"/>
        <v>Clase A++</v>
      </c>
    </row>
    <row r="330" spans="1:22" x14ac:dyDescent="0.2">
      <c r="A330" s="13"/>
      <c r="B330" s="14" t="str">
        <f>IF(A330="","",INDEX(proveedores[Proveedor],MATCH(A330,proveedores[Código],0)))</f>
        <v/>
      </c>
      <c r="C330" s="14" t="str">
        <f>IF(A330="","",INDEX(proveedores[Material],MATCH(A330,proveedores[Código],0)))</f>
        <v/>
      </c>
      <c r="D330" s="15" t="str">
        <f>IF(A330="","",INDEX(proveedores[Perfil],MATCH(A330,proveedores[Código],0)))</f>
        <v/>
      </c>
      <c r="E330" s="15" t="str">
        <f>IF(A330="","",IFERROR(INDEX(proveedores[Nivel de criticidad],MATCH(A330,proveedores[Código],0)),""))</f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5">
        <f t="shared" si="16"/>
        <v>100</v>
      </c>
      <c r="V330" s="12" t="str">
        <f t="shared" si="17"/>
        <v>Clase A++</v>
      </c>
    </row>
    <row r="331" spans="1:22" x14ac:dyDescent="0.2">
      <c r="A331" s="13"/>
      <c r="B331" s="14" t="str">
        <f>IF(A331="","",INDEX(proveedores[Proveedor],MATCH(A331,proveedores[Código],0)))</f>
        <v/>
      </c>
      <c r="C331" s="14" t="str">
        <f>IF(A331="","",INDEX(proveedores[Material],MATCH(A331,proveedores[Código],0)))</f>
        <v/>
      </c>
      <c r="D331" s="15" t="str">
        <f>IF(A331="","",INDEX(proveedores[Perfil],MATCH(A331,proveedores[Código],0)))</f>
        <v/>
      </c>
      <c r="E331" s="15" t="str">
        <f>IF(A331="","",IFERROR(INDEX(proveedores[Nivel de criticidad],MATCH(A331,proveedores[Código],0)),""))</f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5">
        <f t="shared" si="16"/>
        <v>100</v>
      </c>
      <c r="V331" s="12" t="str">
        <f t="shared" si="17"/>
        <v>Clase A++</v>
      </c>
    </row>
    <row r="332" spans="1:22" x14ac:dyDescent="0.2">
      <c r="A332" s="13"/>
      <c r="B332" s="14" t="str">
        <f>IF(A332="","",INDEX(proveedores[Proveedor],MATCH(A332,proveedores[Código],0)))</f>
        <v/>
      </c>
      <c r="C332" s="14" t="str">
        <f>IF(A332="","",INDEX(proveedores[Material],MATCH(A332,proveedores[Código],0)))</f>
        <v/>
      </c>
      <c r="D332" s="15" t="str">
        <f>IF(A332="","",INDEX(proveedores[Perfil],MATCH(A332,proveedores[Código],0)))</f>
        <v/>
      </c>
      <c r="E332" s="15" t="str">
        <f>IF(A332="","",IFERROR(INDEX(proveedores[Nivel de criticidad],MATCH(A332,proveedores[Código],0)),""))</f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5">
        <f t="shared" si="16"/>
        <v>100</v>
      </c>
      <c r="V332" s="12" t="str">
        <f t="shared" si="17"/>
        <v>Clase A++</v>
      </c>
    </row>
    <row r="333" spans="1:22" x14ac:dyDescent="0.2">
      <c r="A333" s="13"/>
      <c r="B333" s="14" t="str">
        <f>IF(A333="","",INDEX(proveedores[Proveedor],MATCH(A333,proveedores[Código],0)))</f>
        <v/>
      </c>
      <c r="C333" s="14" t="str">
        <f>IF(A333="","",INDEX(proveedores[Material],MATCH(A333,proveedores[Código],0)))</f>
        <v/>
      </c>
      <c r="D333" s="15" t="str">
        <f>IF(A333="","",INDEX(proveedores[Perfil],MATCH(A333,proveedores[Código],0)))</f>
        <v/>
      </c>
      <c r="E333" s="15" t="str">
        <f>IF(A333="","",IFERROR(INDEX(proveedores[Nivel de criticidad],MATCH(A333,proveedores[Código],0)),""))</f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5">
        <f t="shared" si="16"/>
        <v>100</v>
      </c>
      <c r="V333" s="12" t="str">
        <f t="shared" si="17"/>
        <v>Clase A++</v>
      </c>
    </row>
    <row r="334" spans="1:22" x14ac:dyDescent="0.2">
      <c r="A334" s="13"/>
      <c r="B334" s="14" t="str">
        <f>IF(A334="","",INDEX(proveedores[Proveedor],MATCH(A334,proveedores[Código],0)))</f>
        <v/>
      </c>
      <c r="C334" s="14" t="str">
        <f>IF(A334="","",INDEX(proveedores[Material],MATCH(A334,proveedores[Código],0)))</f>
        <v/>
      </c>
      <c r="D334" s="15" t="str">
        <f>IF(A334="","",INDEX(proveedores[Perfil],MATCH(A334,proveedores[Código],0)))</f>
        <v/>
      </c>
      <c r="E334" s="15" t="str">
        <f>IF(A334="","",IFERROR(INDEX(proveedores[Nivel de criticidad],MATCH(A334,proveedores[Código],0)),""))</f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5">
        <f t="shared" si="16"/>
        <v>100</v>
      </c>
      <c r="V334" s="12" t="str">
        <f t="shared" si="17"/>
        <v>Clase A++</v>
      </c>
    </row>
    <row r="335" spans="1:22" x14ac:dyDescent="0.2">
      <c r="A335" s="13"/>
      <c r="B335" s="14" t="str">
        <f>IF(A335="","",INDEX(proveedores[Proveedor],MATCH(A335,proveedores[Código],0)))</f>
        <v/>
      </c>
      <c r="C335" s="14" t="str">
        <f>IF(A335="","",INDEX(proveedores[Material],MATCH(A335,proveedores[Código],0)))</f>
        <v/>
      </c>
      <c r="D335" s="15" t="str">
        <f>IF(A335="","",INDEX(proveedores[Perfil],MATCH(A335,proveedores[Código],0)))</f>
        <v/>
      </c>
      <c r="E335" s="15" t="str">
        <f>IF(A335="","",IFERROR(INDEX(proveedores[Nivel de criticidad],MATCH(A335,proveedores[Código],0)),""))</f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5">
        <f t="shared" si="16"/>
        <v>100</v>
      </c>
      <c r="V335" s="12" t="str">
        <f t="shared" si="17"/>
        <v>Clase A++</v>
      </c>
    </row>
    <row r="336" spans="1:22" x14ac:dyDescent="0.2">
      <c r="A336" s="13"/>
      <c r="B336" s="14" t="str">
        <f>IF(A336="","",INDEX(proveedores[Proveedor],MATCH(A336,proveedores[Código],0)))</f>
        <v/>
      </c>
      <c r="C336" s="14" t="str">
        <f>IF(A336="","",INDEX(proveedores[Material],MATCH(A336,proveedores[Código],0)))</f>
        <v/>
      </c>
      <c r="D336" s="15" t="str">
        <f>IF(A336="","",INDEX(proveedores[Perfil],MATCH(A336,proveedores[Código],0)))</f>
        <v/>
      </c>
      <c r="E336" s="15" t="str">
        <f>IF(A336="","",IFERROR(INDEX(proveedores[Nivel de criticidad],MATCH(A336,proveedores[Código],0)),""))</f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5">
        <f t="shared" si="16"/>
        <v>100</v>
      </c>
      <c r="V336" s="12" t="str">
        <f t="shared" si="17"/>
        <v>Clase A++</v>
      </c>
    </row>
    <row r="337" spans="1:22" x14ac:dyDescent="0.2">
      <c r="A337" s="13"/>
      <c r="B337" s="14" t="str">
        <f>IF(A337="","",INDEX(proveedores[Proveedor],MATCH(A337,proveedores[Código],0)))</f>
        <v/>
      </c>
      <c r="C337" s="14" t="str">
        <f>IF(A337="","",INDEX(proveedores[Material],MATCH(A337,proveedores[Código],0)))</f>
        <v/>
      </c>
      <c r="D337" s="15" t="str">
        <f>IF(A337="","",INDEX(proveedores[Perfil],MATCH(A337,proveedores[Código],0)))</f>
        <v/>
      </c>
      <c r="E337" s="15" t="str">
        <f>IF(A337="","",IFERROR(INDEX(proveedores[Nivel de criticidad],MATCH(A337,proveedores[Código],0)),""))</f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5">
        <f t="shared" si="16"/>
        <v>100</v>
      </c>
      <c r="V337" s="12" t="str">
        <f t="shared" si="17"/>
        <v>Clase A++</v>
      </c>
    </row>
    <row r="338" spans="1:22" x14ac:dyDescent="0.2">
      <c r="A338" s="13"/>
      <c r="B338" s="14" t="str">
        <f>IF(A338="","",INDEX(proveedores[Proveedor],MATCH(A338,proveedores[Código],0)))</f>
        <v/>
      </c>
      <c r="C338" s="14" t="str">
        <f>IF(A338="","",INDEX(proveedores[Material],MATCH(A338,proveedores[Código],0)))</f>
        <v/>
      </c>
      <c r="D338" s="15" t="str">
        <f>IF(A338="","",INDEX(proveedores[Perfil],MATCH(A338,proveedores[Código],0)))</f>
        <v/>
      </c>
      <c r="E338" s="15" t="str">
        <f>IF(A338="","",IFERROR(INDEX(proveedores[Nivel de criticidad],MATCH(A338,proveedores[Código],0)),""))</f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5">
        <f t="shared" si="16"/>
        <v>100</v>
      </c>
      <c r="V338" s="12" t="str">
        <f t="shared" si="17"/>
        <v>Clase A++</v>
      </c>
    </row>
    <row r="339" spans="1:22" x14ac:dyDescent="0.2">
      <c r="A339" s="13"/>
      <c r="B339" s="14" t="str">
        <f>IF(A339="","",INDEX(proveedores[Proveedor],MATCH(A339,proveedores[Código],0)))</f>
        <v/>
      </c>
      <c r="C339" s="14" t="str">
        <f>IF(A339="","",INDEX(proveedores[Material],MATCH(A339,proveedores[Código],0)))</f>
        <v/>
      </c>
      <c r="D339" s="15" t="str">
        <f>IF(A339="","",INDEX(proveedores[Perfil],MATCH(A339,proveedores[Código],0)))</f>
        <v/>
      </c>
      <c r="E339" s="15" t="str">
        <f>IF(A339="","",IFERROR(INDEX(proveedores[Nivel de criticidad],MATCH(A339,proveedores[Código],0)),""))</f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5">
        <f t="shared" si="16"/>
        <v>100</v>
      </c>
      <c r="V339" s="12" t="str">
        <f t="shared" si="17"/>
        <v>Clase A++</v>
      </c>
    </row>
    <row r="340" spans="1:22" x14ac:dyDescent="0.2">
      <c r="A340" s="13"/>
      <c r="B340" s="14" t="str">
        <f>IF(A340="","",INDEX(proveedores[Proveedor],MATCH(A340,proveedores[Código],0)))</f>
        <v/>
      </c>
      <c r="C340" s="14" t="str">
        <f>IF(A340="","",INDEX(proveedores[Material],MATCH(A340,proveedores[Código],0)))</f>
        <v/>
      </c>
      <c r="D340" s="15" t="str">
        <f>IF(A340="","",INDEX(proveedores[Perfil],MATCH(A340,proveedores[Código],0)))</f>
        <v/>
      </c>
      <c r="E340" s="15" t="str">
        <f>IF(A340="","",IFERROR(INDEX(proveedores[Nivel de criticidad],MATCH(A340,proveedores[Código],0)),""))</f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5">
        <f t="shared" si="16"/>
        <v>100</v>
      </c>
      <c r="V340" s="12" t="str">
        <f t="shared" si="17"/>
        <v>Clase A++</v>
      </c>
    </row>
    <row r="341" spans="1:22" x14ac:dyDescent="0.2">
      <c r="A341" s="13"/>
      <c r="B341" s="14" t="str">
        <f>IF(A341="","",INDEX(proveedores[Proveedor],MATCH(A341,proveedores[Código],0)))</f>
        <v/>
      </c>
      <c r="C341" s="14" t="str">
        <f>IF(A341="","",INDEX(proveedores[Material],MATCH(A341,proveedores[Código],0)))</f>
        <v/>
      </c>
      <c r="D341" s="15" t="str">
        <f>IF(A341="","",INDEX(proveedores[Perfil],MATCH(A341,proveedores[Código],0)))</f>
        <v/>
      </c>
      <c r="E341" s="15" t="str">
        <f>IF(A341="","",IFERROR(INDEX(proveedores[Nivel de criticidad],MATCH(A341,proveedores[Código],0)),""))</f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5">
        <f t="shared" si="16"/>
        <v>100</v>
      </c>
      <c r="V341" s="12" t="str">
        <f t="shared" si="17"/>
        <v>Clase A++</v>
      </c>
    </row>
    <row r="342" spans="1:22" x14ac:dyDescent="0.2">
      <c r="A342" s="13"/>
      <c r="B342" s="14" t="str">
        <f>IF(A342="","",INDEX(proveedores[Proveedor],MATCH(A342,proveedores[Código],0)))</f>
        <v/>
      </c>
      <c r="C342" s="14" t="str">
        <f>IF(A342="","",INDEX(proveedores[Material],MATCH(A342,proveedores[Código],0)))</f>
        <v/>
      </c>
      <c r="D342" s="15" t="str">
        <f>IF(A342="","",INDEX(proveedores[Perfil],MATCH(A342,proveedores[Código],0)))</f>
        <v/>
      </c>
      <c r="E342" s="15" t="str">
        <f>IF(A342="","",IFERROR(INDEX(proveedores[Nivel de criticidad],MATCH(A342,proveedores[Código],0)),""))</f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5">
        <f t="shared" si="16"/>
        <v>100</v>
      </c>
      <c r="V342" s="12" t="str">
        <f t="shared" si="17"/>
        <v>Clase A++</v>
      </c>
    </row>
    <row r="343" spans="1:22" x14ac:dyDescent="0.2">
      <c r="A343" s="13"/>
      <c r="B343" s="14" t="str">
        <f>IF(A343="","",INDEX(proveedores[Proveedor],MATCH(A343,proveedores[Código],0)))</f>
        <v/>
      </c>
      <c r="C343" s="14" t="str">
        <f>IF(A343="","",INDEX(proveedores[Material],MATCH(A343,proveedores[Código],0)))</f>
        <v/>
      </c>
      <c r="D343" s="15" t="str">
        <f>IF(A343="","",INDEX(proveedores[Perfil],MATCH(A343,proveedores[Código],0)))</f>
        <v/>
      </c>
      <c r="E343" s="15" t="str">
        <f>IF(A343="","",IFERROR(INDEX(proveedores[Nivel de criticidad],MATCH(A343,proveedores[Código],0)),""))</f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5">
        <f t="shared" si="16"/>
        <v>100</v>
      </c>
      <c r="V343" s="12" t="str">
        <f t="shared" si="17"/>
        <v>Clase A++</v>
      </c>
    </row>
    <row r="344" spans="1:22" x14ac:dyDescent="0.2">
      <c r="A344" s="13"/>
      <c r="B344" s="14" t="str">
        <f>IF(A344="","",INDEX(proveedores[Proveedor],MATCH(A344,proveedores[Código],0)))</f>
        <v/>
      </c>
      <c r="C344" s="14" t="str">
        <f>IF(A344="","",INDEX(proveedores[Material],MATCH(A344,proveedores[Código],0)))</f>
        <v/>
      </c>
      <c r="D344" s="15" t="str">
        <f>IF(A344="","",INDEX(proveedores[Perfil],MATCH(A344,proveedores[Código],0)))</f>
        <v/>
      </c>
      <c r="E344" s="15" t="str">
        <f>IF(A344="","",IFERROR(INDEX(proveedores[Nivel de criticidad],MATCH(A344,proveedores[Código],0)),""))</f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5">
        <f t="shared" si="16"/>
        <v>100</v>
      </c>
      <c r="V344" s="12" t="str">
        <f t="shared" si="17"/>
        <v>Clase A++</v>
      </c>
    </row>
    <row r="345" spans="1:22" x14ac:dyDescent="0.2">
      <c r="A345" s="13"/>
      <c r="B345" s="14" t="str">
        <f>IF(A345="","",INDEX(proveedores[Proveedor],MATCH(A345,proveedores[Código],0)))</f>
        <v/>
      </c>
      <c r="C345" s="14" t="str">
        <f>IF(A345="","",INDEX(proveedores[Material],MATCH(A345,proveedores[Código],0)))</f>
        <v/>
      </c>
      <c r="D345" s="15" t="str">
        <f>IF(A345="","",INDEX(proveedores[Perfil],MATCH(A345,proveedores[Código],0)))</f>
        <v/>
      </c>
      <c r="E345" s="15" t="str">
        <f>IF(A345="","",IFERROR(INDEX(proveedores[Nivel de criticidad],MATCH(A345,proveedores[Código],0)),""))</f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5">
        <f t="shared" si="16"/>
        <v>100</v>
      </c>
      <c r="V345" s="12" t="str">
        <f t="shared" si="17"/>
        <v>Clase A++</v>
      </c>
    </row>
    <row r="346" spans="1:22" x14ac:dyDescent="0.2">
      <c r="A346" s="13"/>
      <c r="B346" s="14" t="str">
        <f>IF(A346="","",INDEX(proveedores[Proveedor],MATCH(A346,proveedores[Código],0)))</f>
        <v/>
      </c>
      <c r="C346" s="14" t="str">
        <f>IF(A346="","",INDEX(proveedores[Material],MATCH(A346,proveedores[Código],0)))</f>
        <v/>
      </c>
      <c r="D346" s="15" t="str">
        <f>IF(A346="","",INDEX(proveedores[Perfil],MATCH(A346,proveedores[Código],0)))</f>
        <v/>
      </c>
      <c r="E346" s="15" t="str">
        <f>IF(A346="","",IFERROR(INDEX(proveedores[Nivel de criticidad],MATCH(A346,proveedores[Código],0)),""))</f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5">
        <f t="shared" si="16"/>
        <v>100</v>
      </c>
      <c r="V346" s="12" t="str">
        <f t="shared" si="17"/>
        <v>Clase A++</v>
      </c>
    </row>
    <row r="347" spans="1:22" x14ac:dyDescent="0.2">
      <c r="A347" s="13"/>
      <c r="B347" s="14" t="str">
        <f>IF(A347="","",INDEX(proveedores[Proveedor],MATCH(A347,proveedores[Código],0)))</f>
        <v/>
      </c>
      <c r="C347" s="14" t="str">
        <f>IF(A347="","",INDEX(proveedores[Material],MATCH(A347,proveedores[Código],0)))</f>
        <v/>
      </c>
      <c r="D347" s="15" t="str">
        <f>IF(A347="","",INDEX(proveedores[Perfil],MATCH(A347,proveedores[Código],0)))</f>
        <v/>
      </c>
      <c r="E347" s="15" t="str">
        <f>IF(A347="","",IFERROR(INDEX(proveedores[Nivel de criticidad],MATCH(A347,proveedores[Código],0)),""))</f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5">
        <f t="shared" si="16"/>
        <v>100</v>
      </c>
      <c r="V347" s="12" t="str">
        <f t="shared" si="17"/>
        <v>Clase A++</v>
      </c>
    </row>
    <row r="348" spans="1:22" x14ac:dyDescent="0.2">
      <c r="A348" s="13"/>
      <c r="B348" s="14" t="str">
        <f>IF(A348="","",INDEX(proveedores[Proveedor],MATCH(A348,proveedores[Código],0)))</f>
        <v/>
      </c>
      <c r="C348" s="14" t="str">
        <f>IF(A348="","",INDEX(proveedores[Material],MATCH(A348,proveedores[Código],0)))</f>
        <v/>
      </c>
      <c r="D348" s="15" t="str">
        <f>IF(A348="","",INDEX(proveedores[Perfil],MATCH(A348,proveedores[Código],0)))</f>
        <v/>
      </c>
      <c r="E348" s="15" t="str">
        <f>IF(A348="","",IFERROR(INDEX(proveedores[Nivel de criticidad],MATCH(A348,proveedores[Código],0)),""))</f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5">
        <f t="shared" si="16"/>
        <v>100</v>
      </c>
      <c r="V348" s="12" t="str">
        <f t="shared" si="17"/>
        <v>Clase A++</v>
      </c>
    </row>
    <row r="349" spans="1:22" x14ac:dyDescent="0.2">
      <c r="A349" s="13"/>
      <c r="B349" s="14" t="str">
        <f>IF(A349="","",INDEX(proveedores[Proveedor],MATCH(A349,proveedores[Código],0)))</f>
        <v/>
      </c>
      <c r="C349" s="14" t="str">
        <f>IF(A349="","",INDEX(proveedores[Material],MATCH(A349,proveedores[Código],0)))</f>
        <v/>
      </c>
      <c r="D349" s="15" t="str">
        <f>IF(A349="","",INDEX(proveedores[Perfil],MATCH(A349,proveedores[Código],0)))</f>
        <v/>
      </c>
      <c r="E349" s="15" t="str">
        <f>IF(A349="","",IFERROR(INDEX(proveedores[Nivel de criticidad],MATCH(A349,proveedores[Código],0)),""))</f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5">
        <f t="shared" si="16"/>
        <v>100</v>
      </c>
      <c r="V349" s="12" t="str">
        <f t="shared" si="17"/>
        <v>Clase A++</v>
      </c>
    </row>
    <row r="350" spans="1:22" x14ac:dyDescent="0.2">
      <c r="A350" s="13"/>
      <c r="B350" s="14" t="str">
        <f>IF(A350="","",INDEX(proveedores[Proveedor],MATCH(A350,proveedores[Código],0)))</f>
        <v/>
      </c>
      <c r="C350" s="14" t="str">
        <f>IF(A350="","",INDEX(proveedores[Material],MATCH(A350,proveedores[Código],0)))</f>
        <v/>
      </c>
      <c r="D350" s="15" t="str">
        <f>IF(A350="","",INDEX(proveedores[Perfil],MATCH(A350,proveedores[Código],0)))</f>
        <v/>
      </c>
      <c r="E350" s="15" t="str">
        <f>IF(A350="","",IFERROR(INDEX(proveedores[Nivel de criticidad],MATCH(A350,proveedores[Código],0)),""))</f>
        <v/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5">
        <f t="shared" si="16"/>
        <v>100</v>
      </c>
      <c r="V350" s="12" t="str">
        <f t="shared" si="17"/>
        <v>Clase A++</v>
      </c>
    </row>
    <row r="351" spans="1:22" x14ac:dyDescent="0.2">
      <c r="A351" s="13"/>
      <c r="B351" s="14" t="str">
        <f>IF(A351="","",INDEX(proveedores[Proveedor],MATCH(A351,proveedores[Código],0)))</f>
        <v/>
      </c>
      <c r="C351" s="14" t="str">
        <f>IF(A351="","",INDEX(proveedores[Material],MATCH(A351,proveedores[Código],0)))</f>
        <v/>
      </c>
      <c r="D351" s="15" t="str">
        <f>IF(A351="","",INDEX(proveedores[Perfil],MATCH(A351,proveedores[Código],0)))</f>
        <v/>
      </c>
      <c r="E351" s="15" t="str">
        <f>IF(A351="","",IFERROR(INDEX(proveedores[Nivel de criticidad],MATCH(A351,proveedores[Código],0)),""))</f>
        <v/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5">
        <f t="shared" si="16"/>
        <v>100</v>
      </c>
      <c r="V351" s="12" t="str">
        <f t="shared" si="17"/>
        <v>Clase A++</v>
      </c>
    </row>
    <row r="352" spans="1:22" x14ac:dyDescent="0.2">
      <c r="A352" s="13"/>
      <c r="B352" s="14" t="str">
        <f>IF(A352="","",INDEX(proveedores[Proveedor],MATCH(A352,proveedores[Código],0)))</f>
        <v/>
      </c>
      <c r="C352" s="14" t="str">
        <f>IF(A352="","",INDEX(proveedores[Material],MATCH(A352,proveedores[Código],0)))</f>
        <v/>
      </c>
      <c r="D352" s="15" t="str">
        <f>IF(A352="","",INDEX(proveedores[Perfil],MATCH(A352,proveedores[Código],0)))</f>
        <v/>
      </c>
      <c r="E352" s="15" t="str">
        <f>IF(A352="","",IFERROR(INDEX(proveedores[Nivel de criticidad],MATCH(A352,proveedores[Código],0)),""))</f>
        <v/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5">
        <f t="shared" si="16"/>
        <v>100</v>
      </c>
      <c r="V352" s="12" t="str">
        <f t="shared" si="17"/>
        <v>Clase A++</v>
      </c>
    </row>
    <row r="353" spans="1:22" x14ac:dyDescent="0.2">
      <c r="A353" s="13"/>
      <c r="B353" s="14" t="str">
        <f>IF(A353="","",INDEX(proveedores[Proveedor],MATCH(A353,proveedores[Código],0)))</f>
        <v/>
      </c>
      <c r="C353" s="14" t="str">
        <f>IF(A353="","",INDEX(proveedores[Material],MATCH(A353,proveedores[Código],0)))</f>
        <v/>
      </c>
      <c r="D353" s="15" t="str">
        <f>IF(A353="","",INDEX(proveedores[Perfil],MATCH(A353,proveedores[Código],0)))</f>
        <v/>
      </c>
      <c r="E353" s="15" t="str">
        <f>IF(A353="","",IFERROR(INDEX(proveedores[Nivel de criticidad],MATCH(A353,proveedores[Código],0)),""))</f>
        <v/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5">
        <f t="shared" si="16"/>
        <v>100</v>
      </c>
      <c r="V353" s="12" t="str">
        <f t="shared" si="17"/>
        <v>Clase A++</v>
      </c>
    </row>
    <row r="354" spans="1:22" x14ac:dyDescent="0.2">
      <c r="A354" s="13"/>
      <c r="B354" s="14" t="str">
        <f>IF(A354="","",INDEX(proveedores[Proveedor],MATCH(A354,proveedores[Código],0)))</f>
        <v/>
      </c>
      <c r="C354" s="14" t="str">
        <f>IF(A354="","",INDEX(proveedores[Material],MATCH(A354,proveedores[Código],0)))</f>
        <v/>
      </c>
      <c r="D354" s="15" t="str">
        <f>IF(A354="","",INDEX(proveedores[Perfil],MATCH(A354,proveedores[Código],0)))</f>
        <v/>
      </c>
      <c r="E354" s="15" t="str">
        <f>IF(A354="","",IFERROR(INDEX(proveedores[Nivel de criticidad],MATCH(A354,proveedores[Código],0)),""))</f>
        <v/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5">
        <f t="shared" si="16"/>
        <v>100</v>
      </c>
      <c r="V354" s="12" t="str">
        <f t="shared" si="17"/>
        <v>Clase A++</v>
      </c>
    </row>
    <row r="355" spans="1:22" x14ac:dyDescent="0.2">
      <c r="A355" s="13"/>
      <c r="B355" s="14" t="str">
        <f>IF(A355="","",INDEX(proveedores[Proveedor],MATCH(A355,proveedores[Código],0)))</f>
        <v/>
      </c>
      <c r="C355" s="14" t="str">
        <f>IF(A355="","",INDEX(proveedores[Material],MATCH(A355,proveedores[Código],0)))</f>
        <v/>
      </c>
      <c r="D355" s="15" t="str">
        <f>IF(A355="","",INDEX(proveedores[Perfil],MATCH(A355,proveedores[Código],0)))</f>
        <v/>
      </c>
      <c r="E355" s="15" t="str">
        <f>IF(A355="","",IFERROR(INDEX(proveedores[Nivel de criticidad],MATCH(A355,proveedores[Código],0)),""))</f>
        <v/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5">
        <f t="shared" si="16"/>
        <v>100</v>
      </c>
      <c r="V355" s="12" t="str">
        <f t="shared" si="17"/>
        <v>Clase A++</v>
      </c>
    </row>
    <row r="356" spans="1:22" x14ac:dyDescent="0.2">
      <c r="A356" s="13"/>
      <c r="B356" s="14" t="str">
        <f>IF(A356="","",INDEX(proveedores[Proveedor],MATCH(A356,proveedores[Código],0)))</f>
        <v/>
      </c>
      <c r="C356" s="14" t="str">
        <f>IF(A356="","",INDEX(proveedores[Material],MATCH(A356,proveedores[Código],0)))</f>
        <v/>
      </c>
      <c r="D356" s="15" t="str">
        <f>IF(A356="","",INDEX(proveedores[Perfil],MATCH(A356,proveedores[Código],0)))</f>
        <v/>
      </c>
      <c r="E356" s="15" t="str">
        <f>IF(A356="","",IFERROR(INDEX(proveedores[Nivel de criticidad],MATCH(A356,proveedores[Código],0)),""))</f>
        <v/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5">
        <f t="shared" si="16"/>
        <v>100</v>
      </c>
      <c r="V356" s="12" t="str">
        <f t="shared" si="17"/>
        <v>Clase A++</v>
      </c>
    </row>
    <row r="357" spans="1:22" x14ac:dyDescent="0.2">
      <c r="A357" s="13"/>
      <c r="B357" s="14" t="str">
        <f>IF(A357="","",INDEX(proveedores[Proveedor],MATCH(A357,proveedores[Código],0)))</f>
        <v/>
      </c>
      <c r="C357" s="14" t="str">
        <f>IF(A357="","",INDEX(proveedores[Material],MATCH(A357,proveedores[Código],0)))</f>
        <v/>
      </c>
      <c r="D357" s="15" t="str">
        <f>IF(A357="","",INDEX(proveedores[Perfil],MATCH(A357,proveedores[Código],0)))</f>
        <v/>
      </c>
      <c r="E357" s="15" t="str">
        <f>IF(A357="","",IFERROR(INDEX(proveedores[Nivel de criticidad],MATCH(A357,proveedores[Código],0)),""))</f>
        <v/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5">
        <f t="shared" si="16"/>
        <v>100</v>
      </c>
      <c r="V357" s="12" t="str">
        <f t="shared" si="17"/>
        <v>Clase A++</v>
      </c>
    </row>
    <row r="358" spans="1:22" x14ac:dyDescent="0.2">
      <c r="A358" s="13"/>
      <c r="B358" s="14" t="str">
        <f>IF(A358="","",INDEX(proveedores[Proveedor],MATCH(A358,proveedores[Código],0)))</f>
        <v/>
      </c>
      <c r="C358" s="14" t="str">
        <f>IF(A358="","",INDEX(proveedores[Material],MATCH(A358,proveedores[Código],0)))</f>
        <v/>
      </c>
      <c r="D358" s="15" t="str">
        <f>IF(A358="","",INDEX(proveedores[Perfil],MATCH(A358,proveedores[Código],0)))</f>
        <v/>
      </c>
      <c r="E358" s="15" t="str">
        <f>IF(A358="","",IFERROR(INDEX(proveedores[Nivel de criticidad],MATCH(A358,proveedores[Código],0)),""))</f>
        <v/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5">
        <f t="shared" si="16"/>
        <v>100</v>
      </c>
      <c r="V358" s="12" t="str">
        <f t="shared" si="17"/>
        <v>Clase A++</v>
      </c>
    </row>
    <row r="359" spans="1:22" x14ac:dyDescent="0.2">
      <c r="A359" s="13"/>
      <c r="B359" s="14" t="str">
        <f>IF(A359="","",INDEX(proveedores[Proveedor],MATCH(A359,proveedores[Código],0)))</f>
        <v/>
      </c>
      <c r="C359" s="14" t="str">
        <f>IF(A359="","",INDEX(proveedores[Material],MATCH(A359,proveedores[Código],0)))</f>
        <v/>
      </c>
      <c r="D359" s="15" t="str">
        <f>IF(A359="","",INDEX(proveedores[Perfil],MATCH(A359,proveedores[Código],0)))</f>
        <v/>
      </c>
      <c r="E359" s="15" t="str">
        <f>IF(A359="","",IFERROR(INDEX(proveedores[Nivel de criticidad],MATCH(A359,proveedores[Código],0)),""))</f>
        <v/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5">
        <f t="shared" si="16"/>
        <v>100</v>
      </c>
      <c r="V359" s="12" t="str">
        <f t="shared" si="17"/>
        <v>Clase A++</v>
      </c>
    </row>
    <row r="360" spans="1:22" x14ac:dyDescent="0.2">
      <c r="A360" s="13"/>
      <c r="B360" s="14" t="str">
        <f>IF(A360="","",INDEX(proveedores[Proveedor],MATCH(A360,proveedores[Código],0)))</f>
        <v/>
      </c>
      <c r="C360" s="14" t="str">
        <f>IF(A360="","",INDEX(proveedores[Material],MATCH(A360,proveedores[Código],0)))</f>
        <v/>
      </c>
      <c r="D360" s="15" t="str">
        <f>IF(A360="","",INDEX(proveedores[Perfil],MATCH(A360,proveedores[Código],0)))</f>
        <v/>
      </c>
      <c r="E360" s="15" t="str">
        <f>IF(A360="","",IFERROR(INDEX(proveedores[Nivel de criticidad],MATCH(A360,proveedores[Código],0)),""))</f>
        <v/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5">
        <f t="shared" si="16"/>
        <v>100</v>
      </c>
      <c r="V360" s="12" t="str">
        <f t="shared" si="17"/>
        <v>Clase A++</v>
      </c>
    </row>
    <row r="361" spans="1:22" x14ac:dyDescent="0.2">
      <c r="A361" s="13"/>
      <c r="B361" s="14" t="str">
        <f>IF(A361="","",INDEX(proveedores[Proveedor],MATCH(A361,proveedores[Código],0)))</f>
        <v/>
      </c>
      <c r="C361" s="14" t="str">
        <f>IF(A361="","",INDEX(proveedores[Material],MATCH(A361,proveedores[Código],0)))</f>
        <v/>
      </c>
      <c r="D361" s="15" t="str">
        <f>IF(A361="","",INDEX(proveedores[Perfil],MATCH(A361,proveedores[Código],0)))</f>
        <v/>
      </c>
      <c r="E361" s="15" t="str">
        <f>IF(A361="","",IFERROR(INDEX(proveedores[Nivel de criticidad],MATCH(A361,proveedores[Código],0)),""))</f>
        <v/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5">
        <f t="shared" si="16"/>
        <v>100</v>
      </c>
      <c r="V361" s="12" t="str">
        <f t="shared" si="17"/>
        <v>Clase A++</v>
      </c>
    </row>
    <row r="362" spans="1:22" x14ac:dyDescent="0.2">
      <c r="A362" s="13"/>
      <c r="B362" s="14" t="str">
        <f>IF(A362="","",INDEX(proveedores[Proveedor],MATCH(A362,proveedores[Código],0)))</f>
        <v/>
      </c>
      <c r="C362" s="14" t="str">
        <f>IF(A362="","",INDEX(proveedores[Material],MATCH(A362,proveedores[Código],0)))</f>
        <v/>
      </c>
      <c r="D362" s="15" t="str">
        <f>IF(A362="","",INDEX(proveedores[Perfil],MATCH(A362,proveedores[Código],0)))</f>
        <v/>
      </c>
      <c r="E362" s="15" t="str">
        <f>IF(A362="","",IFERROR(INDEX(proveedores[Nivel de criticidad],MATCH(A362,proveedores[Código],0)),""))</f>
        <v/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5">
        <f t="shared" si="16"/>
        <v>100</v>
      </c>
      <c r="V362" s="12" t="str">
        <f t="shared" si="17"/>
        <v>Clase A++</v>
      </c>
    </row>
    <row r="363" spans="1:22" x14ac:dyDescent="0.2">
      <c r="A363" s="13"/>
      <c r="B363" s="14" t="str">
        <f>IF(A363="","",INDEX(proveedores[Proveedor],MATCH(A363,proveedores[Código],0)))</f>
        <v/>
      </c>
      <c r="C363" s="14" t="str">
        <f>IF(A363="","",INDEX(proveedores[Material],MATCH(A363,proveedores[Código],0)))</f>
        <v/>
      </c>
      <c r="D363" s="15" t="str">
        <f>IF(A363="","",INDEX(proveedores[Perfil],MATCH(A363,proveedores[Código],0)))</f>
        <v/>
      </c>
      <c r="E363" s="15" t="str">
        <f>IF(A363="","",IFERROR(INDEX(proveedores[Nivel de criticidad],MATCH(A363,proveedores[Código],0)),""))</f>
        <v/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5">
        <f t="shared" si="16"/>
        <v>100</v>
      </c>
      <c r="V363" s="12" t="str">
        <f t="shared" si="17"/>
        <v>Clase A++</v>
      </c>
    </row>
    <row r="364" spans="1:22" x14ac:dyDescent="0.2">
      <c r="A364" s="13"/>
      <c r="B364" s="14" t="str">
        <f>IF(A364="","",INDEX(proveedores[Proveedor],MATCH(A364,proveedores[Código],0)))</f>
        <v/>
      </c>
      <c r="C364" s="14" t="str">
        <f>IF(A364="","",INDEX(proveedores[Material],MATCH(A364,proveedores[Código],0)))</f>
        <v/>
      </c>
      <c r="D364" s="15" t="str">
        <f>IF(A364="","",INDEX(proveedores[Perfil],MATCH(A364,proveedores[Código],0)))</f>
        <v/>
      </c>
      <c r="E364" s="15" t="str">
        <f>IF(A364="","",IFERROR(INDEX(proveedores[Nivel de criticidad],MATCH(A364,proveedores[Código],0)),""))</f>
        <v/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5">
        <f t="shared" si="16"/>
        <v>100</v>
      </c>
      <c r="V364" s="12" t="str">
        <f t="shared" si="17"/>
        <v>Clase A++</v>
      </c>
    </row>
    <row r="365" spans="1:22" x14ac:dyDescent="0.2">
      <c r="A365" s="13"/>
      <c r="B365" s="14" t="str">
        <f>IF(A365="","",INDEX(proveedores[Proveedor],MATCH(A365,proveedores[Código],0)))</f>
        <v/>
      </c>
      <c r="C365" s="14" t="str">
        <f>IF(A365="","",INDEX(proveedores[Material],MATCH(A365,proveedores[Código],0)))</f>
        <v/>
      </c>
      <c r="D365" s="15" t="str">
        <f>IF(A365="","",INDEX(proveedores[Perfil],MATCH(A365,proveedores[Código],0)))</f>
        <v/>
      </c>
      <c r="E365" s="15" t="str">
        <f>IF(A365="","",IFERROR(INDEX(proveedores[Nivel de criticidad],MATCH(A365,proveedores[Código],0)),""))</f>
        <v/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5">
        <f t="shared" si="16"/>
        <v>100</v>
      </c>
      <c r="V365" s="12" t="str">
        <f t="shared" si="17"/>
        <v>Clase A++</v>
      </c>
    </row>
    <row r="366" spans="1:22" x14ac:dyDescent="0.2">
      <c r="A366" s="13"/>
      <c r="B366" s="14" t="str">
        <f>IF(A366="","",INDEX(proveedores[Proveedor],MATCH(A366,proveedores[Código],0)))</f>
        <v/>
      </c>
      <c r="C366" s="14" t="str">
        <f>IF(A366="","",INDEX(proveedores[Material],MATCH(A366,proveedores[Código],0)))</f>
        <v/>
      </c>
      <c r="D366" s="15" t="str">
        <f>IF(A366="","",INDEX(proveedores[Perfil],MATCH(A366,proveedores[Código],0)))</f>
        <v/>
      </c>
      <c r="E366" s="15" t="str">
        <f>IF(A366="","",IFERROR(INDEX(proveedores[Nivel de criticidad],MATCH(A366,proveedores[Código],0)),""))</f>
        <v/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5">
        <f t="shared" si="16"/>
        <v>100</v>
      </c>
      <c r="V366" s="12" t="str">
        <f t="shared" si="17"/>
        <v>Clase A++</v>
      </c>
    </row>
    <row r="367" spans="1:22" x14ac:dyDescent="0.2">
      <c r="A367" s="13"/>
      <c r="B367" s="14" t="str">
        <f>IF(A367="","",INDEX(proveedores[Proveedor],MATCH(A367,proveedores[Código],0)))</f>
        <v/>
      </c>
      <c r="C367" s="14" t="str">
        <f>IF(A367="","",INDEX(proveedores[Material],MATCH(A367,proveedores[Código],0)))</f>
        <v/>
      </c>
      <c r="D367" s="15" t="str">
        <f>IF(A367="","",INDEX(proveedores[Perfil],MATCH(A367,proveedores[Código],0)))</f>
        <v/>
      </c>
      <c r="E367" s="15" t="str">
        <f>IF(A367="","",IFERROR(INDEX(proveedores[Nivel de criticidad],MATCH(A367,proveedores[Código],0)),""))</f>
        <v/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5">
        <f t="shared" si="16"/>
        <v>100</v>
      </c>
      <c r="V367" s="12" t="str">
        <f t="shared" si="17"/>
        <v>Clase A++</v>
      </c>
    </row>
    <row r="368" spans="1:22" x14ac:dyDescent="0.2">
      <c r="A368" s="13"/>
      <c r="B368" s="14" t="str">
        <f>IF(A368="","",INDEX(proveedores[Proveedor],MATCH(A368,proveedores[Código],0)))</f>
        <v/>
      </c>
      <c r="C368" s="14" t="str">
        <f>IF(A368="","",INDEX(proveedores[Material],MATCH(A368,proveedores[Código],0)))</f>
        <v/>
      </c>
      <c r="D368" s="15" t="str">
        <f>IF(A368="","",INDEX(proveedores[Perfil],MATCH(A368,proveedores[Código],0)))</f>
        <v/>
      </c>
      <c r="E368" s="15" t="str">
        <f>IF(A368="","",IFERROR(INDEX(proveedores[Nivel de criticidad],MATCH(A368,proveedores[Código],0)),""))</f>
        <v/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5">
        <f t="shared" si="16"/>
        <v>100</v>
      </c>
      <c r="V368" s="12" t="str">
        <f t="shared" si="17"/>
        <v>Clase A++</v>
      </c>
    </row>
    <row r="369" spans="1:22" x14ac:dyDescent="0.2">
      <c r="A369" s="13"/>
      <c r="B369" s="14" t="str">
        <f>IF(A369="","",INDEX(proveedores[Proveedor],MATCH(A369,proveedores[Código],0)))</f>
        <v/>
      </c>
      <c r="C369" s="14" t="str">
        <f>IF(A369="","",INDEX(proveedores[Material],MATCH(A369,proveedores[Código],0)))</f>
        <v/>
      </c>
      <c r="D369" s="15" t="str">
        <f>IF(A369="","",INDEX(proveedores[Perfil],MATCH(A369,proveedores[Código],0)))</f>
        <v/>
      </c>
      <c r="E369" s="15" t="str">
        <f>IF(A369="","",IFERROR(INDEX(proveedores[Nivel de criticidad],MATCH(A369,proveedores[Código],0)),""))</f>
        <v/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5">
        <f t="shared" si="16"/>
        <v>100</v>
      </c>
      <c r="V369" s="12" t="str">
        <f t="shared" si="17"/>
        <v>Clase A++</v>
      </c>
    </row>
    <row r="370" spans="1:22" x14ac:dyDescent="0.2">
      <c r="A370" s="13"/>
      <c r="B370" s="14" t="str">
        <f>IF(A370="","",INDEX(proveedores[Proveedor],MATCH(A370,proveedores[Código],0)))</f>
        <v/>
      </c>
      <c r="C370" s="14" t="str">
        <f>IF(A370="","",INDEX(proveedores[Material],MATCH(A370,proveedores[Código],0)))</f>
        <v/>
      </c>
      <c r="D370" s="15" t="str">
        <f>IF(A370="","",INDEX(proveedores[Perfil],MATCH(A370,proveedores[Código],0)))</f>
        <v/>
      </c>
      <c r="E370" s="15" t="str">
        <f>IF(A370="","",IFERROR(INDEX(proveedores[Nivel de criticidad],MATCH(A370,proveedores[Código],0)),""))</f>
        <v/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5">
        <f t="shared" si="16"/>
        <v>100</v>
      </c>
      <c r="V370" s="12" t="str">
        <f t="shared" si="17"/>
        <v>Clase A++</v>
      </c>
    </row>
    <row r="371" spans="1:22" x14ac:dyDescent="0.2">
      <c r="A371" s="13"/>
      <c r="B371" s="14" t="str">
        <f>IF(A371="","",INDEX(proveedores[Proveedor],MATCH(A371,proveedores[Código],0)))</f>
        <v/>
      </c>
      <c r="C371" s="14" t="str">
        <f>IF(A371="","",INDEX(proveedores[Material],MATCH(A371,proveedores[Código],0)))</f>
        <v/>
      </c>
      <c r="D371" s="15" t="str">
        <f>IF(A371="","",INDEX(proveedores[Perfil],MATCH(A371,proveedores[Código],0)))</f>
        <v/>
      </c>
      <c r="E371" s="15" t="str">
        <f>IF(A371="","",IFERROR(INDEX(proveedores[Nivel de criticidad],MATCH(A371,proveedores[Código],0)),""))</f>
        <v/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5">
        <f t="shared" si="16"/>
        <v>100</v>
      </c>
      <c r="V371" s="12" t="str">
        <f t="shared" si="17"/>
        <v>Clase A++</v>
      </c>
    </row>
    <row r="372" spans="1:22" x14ac:dyDescent="0.2">
      <c r="A372" s="13"/>
      <c r="B372" s="14" t="str">
        <f>IF(A372="","",INDEX(proveedores[Proveedor],MATCH(A372,proveedores[Código],0)))</f>
        <v/>
      </c>
      <c r="C372" s="14" t="str">
        <f>IF(A372="","",INDEX(proveedores[Material],MATCH(A372,proveedores[Código],0)))</f>
        <v/>
      </c>
      <c r="D372" s="15" t="str">
        <f>IF(A372="","",INDEX(proveedores[Perfil],MATCH(A372,proveedores[Código],0)))</f>
        <v/>
      </c>
      <c r="E372" s="15" t="str">
        <f>IF(A372="","",IFERROR(INDEX(proveedores[Nivel de criticidad],MATCH(A372,proveedores[Código],0)),""))</f>
        <v/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5">
        <f t="shared" si="16"/>
        <v>100</v>
      </c>
      <c r="V372" s="12" t="str">
        <f t="shared" si="17"/>
        <v>Clase A++</v>
      </c>
    </row>
    <row r="373" spans="1:22" x14ac:dyDescent="0.2">
      <c r="A373" s="13"/>
      <c r="B373" s="14" t="str">
        <f>IF(A373="","",INDEX(proveedores[Proveedor],MATCH(A373,proveedores[Código],0)))</f>
        <v/>
      </c>
      <c r="C373" s="14" t="str">
        <f>IF(A373="","",INDEX(proveedores[Material],MATCH(A373,proveedores[Código],0)))</f>
        <v/>
      </c>
      <c r="D373" s="15" t="str">
        <f>IF(A373="","",INDEX(proveedores[Perfil],MATCH(A373,proveedores[Código],0)))</f>
        <v/>
      </c>
      <c r="E373" s="15" t="str">
        <f>IF(A373="","",IFERROR(INDEX(proveedores[Nivel de criticidad],MATCH(A373,proveedores[Código],0)),""))</f>
        <v/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5">
        <f t="shared" si="16"/>
        <v>100</v>
      </c>
      <c r="V373" s="12" t="str">
        <f t="shared" si="17"/>
        <v>Clase A++</v>
      </c>
    </row>
    <row r="374" spans="1:22" x14ac:dyDescent="0.2">
      <c r="A374" s="13"/>
      <c r="B374" s="14" t="str">
        <f>IF(A374="","",INDEX(proveedores[Proveedor],MATCH(A374,proveedores[Código],0)))</f>
        <v/>
      </c>
      <c r="C374" s="14" t="str">
        <f>IF(A374="","",INDEX(proveedores[Material],MATCH(A374,proveedores[Código],0)))</f>
        <v/>
      </c>
      <c r="D374" s="15" t="str">
        <f>IF(A374="","",INDEX(proveedores[Perfil],MATCH(A374,proveedores[Código],0)))</f>
        <v/>
      </c>
      <c r="E374" s="15" t="str">
        <f>IF(A374="","",IFERROR(INDEX(proveedores[Nivel de criticidad],MATCH(A374,proveedores[Código],0)),""))</f>
        <v/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5">
        <f t="shared" si="16"/>
        <v>100</v>
      </c>
      <c r="V374" s="12" t="str">
        <f t="shared" si="17"/>
        <v>Clase A++</v>
      </c>
    </row>
    <row r="375" spans="1:22" x14ac:dyDescent="0.2">
      <c r="A375" s="13"/>
      <c r="B375" s="14" t="str">
        <f>IF(A375="","",INDEX(proveedores[Proveedor],MATCH(A375,proveedores[Código],0)))</f>
        <v/>
      </c>
      <c r="C375" s="14" t="str">
        <f>IF(A375="","",INDEX(proveedores[Material],MATCH(A375,proveedores[Código],0)))</f>
        <v/>
      </c>
      <c r="D375" s="15" t="str">
        <f>IF(A375="","",INDEX(proveedores[Perfil],MATCH(A375,proveedores[Código],0)))</f>
        <v/>
      </c>
      <c r="E375" s="15" t="str">
        <f>IF(A375="","",IFERROR(INDEX(proveedores[Nivel de criticidad],MATCH(A375,proveedores[Código],0)),""))</f>
        <v/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5">
        <f t="shared" si="16"/>
        <v>100</v>
      </c>
      <c r="V375" s="12" t="str">
        <f t="shared" si="17"/>
        <v>Clase A++</v>
      </c>
    </row>
    <row r="376" spans="1:22" x14ac:dyDescent="0.2">
      <c r="A376" s="13"/>
      <c r="B376" s="14" t="str">
        <f>IF(A376="","",INDEX(proveedores[Proveedor],MATCH(A376,proveedores[Código],0)))</f>
        <v/>
      </c>
      <c r="C376" s="14" t="str">
        <f>IF(A376="","",INDEX(proveedores[Material],MATCH(A376,proveedores[Código],0)))</f>
        <v/>
      </c>
      <c r="D376" s="15" t="str">
        <f>IF(A376="","",INDEX(proveedores[Perfil],MATCH(A376,proveedores[Código],0)))</f>
        <v/>
      </c>
      <c r="E376" s="15" t="str">
        <f>IF(A376="","",IFERROR(INDEX(proveedores[Nivel de criticidad],MATCH(A376,proveedores[Código],0)),""))</f>
        <v/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5">
        <f t="shared" si="16"/>
        <v>100</v>
      </c>
      <c r="V376" s="12" t="str">
        <f t="shared" si="17"/>
        <v>Clase A++</v>
      </c>
    </row>
    <row r="377" spans="1:22" x14ac:dyDescent="0.2">
      <c r="A377" s="13"/>
      <c r="B377" s="14" t="str">
        <f>IF(A377="","",INDEX(proveedores[Proveedor],MATCH(A377,proveedores[Código],0)))</f>
        <v/>
      </c>
      <c r="C377" s="14" t="str">
        <f>IF(A377="","",INDEX(proveedores[Material],MATCH(A377,proveedores[Código],0)))</f>
        <v/>
      </c>
      <c r="D377" s="15" t="str">
        <f>IF(A377="","",INDEX(proveedores[Perfil],MATCH(A377,proveedores[Código],0)))</f>
        <v/>
      </c>
      <c r="E377" s="15" t="str">
        <f>IF(A377="","",IFERROR(INDEX(proveedores[Nivel de criticidad],MATCH(A377,proveedores[Código],0)),""))</f>
        <v/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5">
        <f t="shared" si="16"/>
        <v>100</v>
      </c>
      <c r="V377" s="12" t="str">
        <f t="shared" si="17"/>
        <v>Clase A++</v>
      </c>
    </row>
    <row r="378" spans="1:22" x14ac:dyDescent="0.2">
      <c r="A378" s="13"/>
      <c r="B378" s="14" t="str">
        <f>IF(A378="","",INDEX(proveedores[Proveedor],MATCH(A378,proveedores[Código],0)))</f>
        <v/>
      </c>
      <c r="C378" s="14" t="str">
        <f>IF(A378="","",INDEX(proveedores[Material],MATCH(A378,proveedores[Código],0)))</f>
        <v/>
      </c>
      <c r="D378" s="15" t="str">
        <f>IF(A378="","",INDEX(proveedores[Perfil],MATCH(A378,proveedores[Código],0)))</f>
        <v/>
      </c>
      <c r="E378" s="15" t="str">
        <f>IF(A378="","",IFERROR(INDEX(proveedores[Nivel de criticidad],MATCH(A378,proveedores[Código],0)),""))</f>
        <v/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5">
        <f t="shared" si="16"/>
        <v>100</v>
      </c>
      <c r="V378" s="12" t="str">
        <f t="shared" si="17"/>
        <v>Clase A++</v>
      </c>
    </row>
    <row r="379" spans="1:22" x14ac:dyDescent="0.2">
      <c r="A379" s="13"/>
      <c r="B379" s="14" t="str">
        <f>IF(A379="","",INDEX(proveedores[Proveedor],MATCH(A379,proveedores[Código],0)))</f>
        <v/>
      </c>
      <c r="C379" s="14" t="str">
        <f>IF(A379="","",INDEX(proveedores[Material],MATCH(A379,proveedores[Código],0)))</f>
        <v/>
      </c>
      <c r="D379" s="15" t="str">
        <f>IF(A379="","",INDEX(proveedores[Perfil],MATCH(A379,proveedores[Código],0)))</f>
        <v/>
      </c>
      <c r="E379" s="15" t="str">
        <f>IF(A379="","",IFERROR(INDEX(proveedores[Nivel de criticidad],MATCH(A379,proveedores[Código],0)),""))</f>
        <v/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5">
        <f t="shared" si="16"/>
        <v>100</v>
      </c>
      <c r="V379" s="12" t="str">
        <f t="shared" si="17"/>
        <v>Clase A++</v>
      </c>
    </row>
    <row r="380" spans="1:22" x14ac:dyDescent="0.2">
      <c r="A380" s="13"/>
      <c r="B380" s="14" t="str">
        <f>IF(A380="","",INDEX(proveedores[Proveedor],MATCH(A380,proveedores[Código],0)))</f>
        <v/>
      </c>
      <c r="C380" s="14" t="str">
        <f>IF(A380="","",INDEX(proveedores[Material],MATCH(A380,proveedores[Código],0)))</f>
        <v/>
      </c>
      <c r="D380" s="15" t="str">
        <f>IF(A380="","",INDEX(proveedores[Perfil],MATCH(A380,proveedores[Código],0)))</f>
        <v/>
      </c>
      <c r="E380" s="15" t="str">
        <f>IF(A380="","",IFERROR(INDEX(proveedores[Nivel de criticidad],MATCH(A380,proveedores[Código],0)),""))</f>
        <v/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5">
        <f t="shared" si="16"/>
        <v>100</v>
      </c>
      <c r="V380" s="12" t="str">
        <f t="shared" si="17"/>
        <v>Clase A++</v>
      </c>
    </row>
    <row r="381" spans="1:22" x14ac:dyDescent="0.2">
      <c r="A381" s="13"/>
      <c r="B381" s="14" t="str">
        <f>IF(A381="","",INDEX(proveedores[Proveedor],MATCH(A381,proveedores[Código],0)))</f>
        <v/>
      </c>
      <c r="C381" s="14" t="str">
        <f>IF(A381="","",INDEX(proveedores[Material],MATCH(A381,proveedores[Código],0)))</f>
        <v/>
      </c>
      <c r="D381" s="15" t="str">
        <f>IF(A381="","",INDEX(proveedores[Perfil],MATCH(A381,proveedores[Código],0)))</f>
        <v/>
      </c>
      <c r="E381" s="15" t="str">
        <f>IF(A381="","",IFERROR(INDEX(proveedores[Nivel de criticidad],MATCH(A381,proveedores[Código],0)),""))</f>
        <v/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5">
        <f t="shared" si="16"/>
        <v>100</v>
      </c>
      <c r="V381" s="12" t="str">
        <f t="shared" si="17"/>
        <v>Clase A++</v>
      </c>
    </row>
    <row r="382" spans="1:22" x14ac:dyDescent="0.2">
      <c r="A382" s="13"/>
      <c r="B382" s="14" t="str">
        <f>IF(A382="","",INDEX(proveedores[Proveedor],MATCH(A382,proveedores[Código],0)))</f>
        <v/>
      </c>
      <c r="C382" s="14" t="str">
        <f>IF(A382="","",INDEX(proveedores[Material],MATCH(A382,proveedores[Código],0)))</f>
        <v/>
      </c>
      <c r="D382" s="15" t="str">
        <f>IF(A382="","",INDEX(proveedores[Perfil],MATCH(A382,proveedores[Código],0)))</f>
        <v/>
      </c>
      <c r="E382" s="15" t="str">
        <f>IF(A382="","",IFERROR(INDEX(proveedores[Nivel de criticidad],MATCH(A382,proveedores[Código],0)),""))</f>
        <v/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5">
        <f t="shared" si="16"/>
        <v>100</v>
      </c>
      <c r="V382" s="12" t="str">
        <f t="shared" si="17"/>
        <v>Clase A++</v>
      </c>
    </row>
    <row r="383" spans="1:22" x14ac:dyDescent="0.2">
      <c r="A383" s="13"/>
      <c r="B383" s="14" t="str">
        <f>IF(A383="","",INDEX(proveedores[Proveedor],MATCH(A383,proveedores[Código],0)))</f>
        <v/>
      </c>
      <c r="C383" s="14" t="str">
        <f>IF(A383="","",INDEX(proveedores[Material],MATCH(A383,proveedores[Código],0)))</f>
        <v/>
      </c>
      <c r="D383" s="15" t="str">
        <f>IF(A383="","",INDEX(proveedores[Perfil],MATCH(A383,proveedores[Código],0)))</f>
        <v/>
      </c>
      <c r="E383" s="15" t="str">
        <f>IF(A383="","",IFERROR(INDEX(proveedores[Nivel de criticidad],MATCH(A383,proveedores[Código],0)),""))</f>
        <v/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5">
        <f t="shared" si="16"/>
        <v>100</v>
      </c>
      <c r="V383" s="12" t="str">
        <f t="shared" si="17"/>
        <v>Clase A++</v>
      </c>
    </row>
    <row r="384" spans="1:22" x14ac:dyDescent="0.2">
      <c r="A384" s="13"/>
      <c r="B384" s="14" t="str">
        <f>IF(A384="","",INDEX(proveedores[Proveedor],MATCH(A384,proveedores[Código],0)))</f>
        <v/>
      </c>
      <c r="C384" s="14" t="str">
        <f>IF(A384="","",INDEX(proveedores[Material],MATCH(A384,proveedores[Código],0)))</f>
        <v/>
      </c>
      <c r="D384" s="15" t="str">
        <f>IF(A384="","",INDEX(proveedores[Perfil],MATCH(A384,proveedores[Código],0)))</f>
        <v/>
      </c>
      <c r="E384" s="15" t="str">
        <f>IF(A384="","",IFERROR(INDEX(proveedores[Nivel de criticidad],MATCH(A384,proveedores[Código],0)),""))</f>
        <v/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5">
        <f t="shared" si="16"/>
        <v>100</v>
      </c>
      <c r="V384" s="12" t="str">
        <f t="shared" si="17"/>
        <v>Clase A++</v>
      </c>
    </row>
    <row r="385" spans="1:22" x14ac:dyDescent="0.2">
      <c r="A385" s="13"/>
      <c r="B385" s="14" t="str">
        <f>IF(A385="","",INDEX(proveedores[Proveedor],MATCH(A385,proveedores[Código],0)))</f>
        <v/>
      </c>
      <c r="C385" s="14" t="str">
        <f>IF(A385="","",INDEX(proveedores[Material],MATCH(A385,proveedores[Código],0)))</f>
        <v/>
      </c>
      <c r="D385" s="15" t="str">
        <f>IF(A385="","",INDEX(proveedores[Perfil],MATCH(A385,proveedores[Código],0)))</f>
        <v/>
      </c>
      <c r="E385" s="15" t="str">
        <f>IF(A385="","",IFERROR(INDEX(proveedores[Nivel de criticidad],MATCH(A385,proveedores[Código],0)),""))</f>
        <v/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5">
        <f t="shared" si="16"/>
        <v>100</v>
      </c>
      <c r="V385" s="12" t="str">
        <f t="shared" si="17"/>
        <v>Clase A++</v>
      </c>
    </row>
    <row r="386" spans="1:22" x14ac:dyDescent="0.2">
      <c r="A386" s="13"/>
      <c r="B386" s="14" t="str">
        <f>IF(A386="","",INDEX(proveedores[Proveedor],MATCH(A386,proveedores[Código],0)))</f>
        <v/>
      </c>
      <c r="C386" s="14" t="str">
        <f>IF(A386="","",INDEX(proveedores[Material],MATCH(A386,proveedores[Código],0)))</f>
        <v/>
      </c>
      <c r="D386" s="15" t="str">
        <f>IF(A386="","",INDEX(proveedores[Perfil],MATCH(A386,proveedores[Código],0)))</f>
        <v/>
      </c>
      <c r="E386" s="15" t="str">
        <f>IF(A386="","",IFERROR(INDEX(proveedores[Nivel de criticidad],MATCH(A386,proveedores[Código],0)),""))</f>
        <v/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5">
        <f t="shared" si="16"/>
        <v>100</v>
      </c>
      <c r="V386" s="12" t="str">
        <f t="shared" si="17"/>
        <v>Clase A++</v>
      </c>
    </row>
    <row r="387" spans="1:22" x14ac:dyDescent="0.2">
      <c r="A387" s="13"/>
      <c r="B387" s="14" t="str">
        <f>IF(A387="","",INDEX(proveedores[Proveedor],MATCH(A387,proveedores[Código],0)))</f>
        <v/>
      </c>
      <c r="C387" s="14" t="str">
        <f>IF(A387="","",INDEX(proveedores[Material],MATCH(A387,proveedores[Código],0)))</f>
        <v/>
      </c>
      <c r="D387" s="15" t="str">
        <f>IF(A387="","",INDEX(proveedores[Perfil],MATCH(A387,proveedores[Código],0)))</f>
        <v/>
      </c>
      <c r="E387" s="15" t="str">
        <f>IF(A387="","",IFERROR(INDEX(proveedores[Nivel de criticidad],MATCH(A387,proveedores[Código],0)),""))</f>
        <v/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5">
        <f t="shared" si="16"/>
        <v>100</v>
      </c>
      <c r="V387" s="12" t="str">
        <f t="shared" si="17"/>
        <v>Clase A++</v>
      </c>
    </row>
    <row r="388" spans="1:22" x14ac:dyDescent="0.2">
      <c r="A388" s="13"/>
      <c r="B388" s="14" t="str">
        <f>IF(A388="","",INDEX(proveedores[Proveedor],MATCH(A388,proveedores[Código],0)))</f>
        <v/>
      </c>
      <c r="C388" s="14" t="str">
        <f>IF(A388="","",INDEX(proveedores[Material],MATCH(A388,proveedores[Código],0)))</f>
        <v/>
      </c>
      <c r="D388" s="15" t="str">
        <f>IF(A388="","",INDEX(proveedores[Perfil],MATCH(A388,proveedores[Código],0)))</f>
        <v/>
      </c>
      <c r="E388" s="15" t="str">
        <f>IF(A388="","",IFERROR(INDEX(proveedores[Nivel de criticidad],MATCH(A388,proveedores[Código],0)),""))</f>
        <v/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5">
        <f t="shared" si="16"/>
        <v>100</v>
      </c>
      <c r="V388" s="12" t="str">
        <f t="shared" si="17"/>
        <v>Clase A++</v>
      </c>
    </row>
    <row r="389" spans="1:22" x14ac:dyDescent="0.2">
      <c r="A389" s="13"/>
      <c r="B389" s="14" t="str">
        <f>IF(A389="","",INDEX(proveedores[Proveedor],MATCH(A389,proveedores[Código],0)))</f>
        <v/>
      </c>
      <c r="C389" s="14" t="str">
        <f>IF(A389="","",INDEX(proveedores[Material],MATCH(A389,proveedores[Código],0)))</f>
        <v/>
      </c>
      <c r="D389" s="15" t="str">
        <f>IF(A389="","",INDEX(proveedores[Perfil],MATCH(A389,proveedores[Código],0)))</f>
        <v/>
      </c>
      <c r="E389" s="15" t="str">
        <f>IF(A389="","",IFERROR(INDEX(proveedores[Nivel de criticidad],MATCH(A389,proveedores[Código],0)),""))</f>
        <v/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5">
        <f t="shared" si="16"/>
        <v>100</v>
      </c>
      <c r="V389" s="12" t="str">
        <f t="shared" si="17"/>
        <v>Clase A++</v>
      </c>
    </row>
    <row r="390" spans="1:22" x14ac:dyDescent="0.2">
      <c r="A390" s="13"/>
      <c r="B390" s="14" t="str">
        <f>IF(A390="","",INDEX(proveedores[Proveedor],MATCH(A390,proveedores[Código],0)))</f>
        <v/>
      </c>
      <c r="C390" s="14" t="str">
        <f>IF(A390="","",INDEX(proveedores[Material],MATCH(A390,proveedores[Código],0)))</f>
        <v/>
      </c>
      <c r="D390" s="15" t="str">
        <f>IF(A390="","",INDEX(proveedores[Perfil],MATCH(A390,proveedores[Código],0)))</f>
        <v/>
      </c>
      <c r="E390" s="15" t="str">
        <f>IF(A390="","",IFERROR(INDEX(proveedores[Nivel de criticidad],MATCH(A390,proveedores[Código],0)),""))</f>
        <v/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5">
        <f t="shared" ref="U390:U453" si="18">IF(D390="Internacional", MIN(IF(((F390*10)+(G390*3)+(H390*4)+(I390*5)+(J390*8)+(O390*5)+(P390*2)+IF(L390="N/A",0,(L390*10)+(M390*5)+(N390*3)))&gt;0,98,100), ((MAX(0, 30 - (F390*10) - (G390*3))/30)*45) + ((MAX(0, 25 - (H390*4) - (I390*5) - (J390*8) - (K390*5))/25)*35) + ((MAX(0, 15 - (O390*5) - (P390*2))/15)*20) + (IF(Q390="N/A",0,Q390)*2.5) + (IF(R390="N/A",0,R390)*2.5) + (IF(S390="N/A",0,S390)*2.5) + (IF(T390="N/A",0,T390)*2.5)), IF(D390="Local Insumos", MIN(IF(((F390*10)+(G390*3)+(H390*4)+(I390*5)+(J390*8)+(O390*5)+(P390*2)+IF(L390="N/A",0,(L390*10)+(M390*5)+(N390*3)))&gt;0,98,100), ((MAX(0, 30 - (F390*10) - (G390*3))/30)*35) + ((MAX(0, 25 - (H390*4) - (I390*5) - (J390*8) - (K390*5))/25)*30) + MAX(0, 20 - (L390*10) - (M390*5) - (N390*3)) + MAX(0, 15 - (O390*5) - (P390*2)) + (IF(Q390="N/A",0,Q390)*2.5) + (IF(R390="N/A",0,R390)*2.5) + (IF(S390="N/A",0,S390)*2.5) + (IF(T390="N/A",0,T390)*2.5)), MIN(IF(((F390*10)+(G390*3)+(H390*4)+(I390*5)+(J390*8)+(O390*5)+(P390*2)+IF(L390="N/A",0,(L390*10)+(M390*5)+(N390*3)))&gt;0,98,100), ((MAX(0, 25 - (H390*4) - (I390*5) - (J390*8) - (K390*5))/25)*55) + ((MAX(0, 20 - (L390*10) - (M390*5) - (N390*3))/20)*30) + ((MAX(0, 15 - (O390*5) - (P390*2))/15)*15))))</f>
        <v>100</v>
      </c>
      <c r="V390" s="12" t="str">
        <f t="shared" si="17"/>
        <v>Clase A++</v>
      </c>
    </row>
    <row r="391" spans="1:22" x14ac:dyDescent="0.2">
      <c r="A391" s="13"/>
      <c r="B391" s="14" t="str">
        <f>IF(A391="","",INDEX(proveedores[Proveedor],MATCH(A391,proveedores[Código],0)))</f>
        <v/>
      </c>
      <c r="C391" s="14" t="str">
        <f>IF(A391="","",INDEX(proveedores[Material],MATCH(A391,proveedores[Código],0)))</f>
        <v/>
      </c>
      <c r="D391" s="15" t="str">
        <f>IF(A391="","",INDEX(proveedores[Perfil],MATCH(A391,proveedores[Código],0)))</f>
        <v/>
      </c>
      <c r="E391" s="15" t="str">
        <f>IF(A391="","",IFERROR(INDEX(proveedores[Nivel de criticidad],MATCH(A391,proveedores[Código],0)),""))</f>
        <v/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5">
        <f t="shared" si="18"/>
        <v>100</v>
      </c>
      <c r="V391" s="12" t="str">
        <f t="shared" ref="V391:V454" si="19">IF(U391&gt;=96, "Clase A++", IF(U391&gt;=85, "Clase A", IF(U391&gt;=70, "Clase B", "Clase C")))</f>
        <v>Clase A++</v>
      </c>
    </row>
    <row r="392" spans="1:22" x14ac:dyDescent="0.2">
      <c r="A392" s="13"/>
      <c r="B392" s="14" t="str">
        <f>IF(A392="","",INDEX(proveedores[Proveedor],MATCH(A392,proveedores[Código],0)))</f>
        <v/>
      </c>
      <c r="C392" s="14" t="str">
        <f>IF(A392="","",INDEX(proveedores[Material],MATCH(A392,proveedores[Código],0)))</f>
        <v/>
      </c>
      <c r="D392" s="15" t="str">
        <f>IF(A392="","",INDEX(proveedores[Perfil],MATCH(A392,proveedores[Código],0)))</f>
        <v/>
      </c>
      <c r="E392" s="15" t="str">
        <f>IF(A392="","",IFERROR(INDEX(proveedores[Nivel de criticidad],MATCH(A392,proveedores[Código],0)),""))</f>
        <v/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5">
        <f t="shared" si="18"/>
        <v>100</v>
      </c>
      <c r="V392" s="12" t="str">
        <f t="shared" si="19"/>
        <v>Clase A++</v>
      </c>
    </row>
    <row r="393" spans="1:22" x14ac:dyDescent="0.2">
      <c r="A393" s="13"/>
      <c r="B393" s="14" t="str">
        <f>IF(A393="","",INDEX(proveedores[Proveedor],MATCH(A393,proveedores[Código],0)))</f>
        <v/>
      </c>
      <c r="C393" s="14" t="str">
        <f>IF(A393="","",INDEX(proveedores[Material],MATCH(A393,proveedores[Código],0)))</f>
        <v/>
      </c>
      <c r="D393" s="15" t="str">
        <f>IF(A393="","",INDEX(proveedores[Perfil],MATCH(A393,proveedores[Código],0)))</f>
        <v/>
      </c>
      <c r="E393" s="15" t="str">
        <f>IF(A393="","",IFERROR(INDEX(proveedores[Nivel de criticidad],MATCH(A393,proveedores[Código],0)),""))</f>
        <v/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5">
        <f t="shared" si="18"/>
        <v>100</v>
      </c>
      <c r="V393" s="12" t="str">
        <f t="shared" si="19"/>
        <v>Clase A++</v>
      </c>
    </row>
    <row r="394" spans="1:22" x14ac:dyDescent="0.2">
      <c r="A394" s="13"/>
      <c r="B394" s="14" t="str">
        <f>IF(A394="","",INDEX(proveedores[Proveedor],MATCH(A394,proveedores[Código],0)))</f>
        <v/>
      </c>
      <c r="C394" s="14" t="str">
        <f>IF(A394="","",INDEX(proveedores[Material],MATCH(A394,proveedores[Código],0)))</f>
        <v/>
      </c>
      <c r="D394" s="15" t="str">
        <f>IF(A394="","",INDEX(proveedores[Perfil],MATCH(A394,proveedores[Código],0)))</f>
        <v/>
      </c>
      <c r="E394" s="15" t="str">
        <f>IF(A394="","",IFERROR(INDEX(proveedores[Nivel de criticidad],MATCH(A394,proveedores[Código],0)),""))</f>
        <v/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5">
        <f t="shared" si="18"/>
        <v>100</v>
      </c>
      <c r="V394" s="12" t="str">
        <f t="shared" si="19"/>
        <v>Clase A++</v>
      </c>
    </row>
    <row r="395" spans="1:22" x14ac:dyDescent="0.2">
      <c r="A395" s="13"/>
      <c r="B395" s="14" t="str">
        <f>IF(A395="","",INDEX(proveedores[Proveedor],MATCH(A395,proveedores[Código],0)))</f>
        <v/>
      </c>
      <c r="C395" s="14" t="str">
        <f>IF(A395="","",INDEX(proveedores[Material],MATCH(A395,proveedores[Código],0)))</f>
        <v/>
      </c>
      <c r="D395" s="15" t="str">
        <f>IF(A395="","",INDEX(proveedores[Perfil],MATCH(A395,proveedores[Código],0)))</f>
        <v/>
      </c>
      <c r="E395" s="15" t="str">
        <f>IF(A395="","",IFERROR(INDEX(proveedores[Nivel de criticidad],MATCH(A395,proveedores[Código],0)),""))</f>
        <v/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5">
        <f t="shared" si="18"/>
        <v>100</v>
      </c>
      <c r="V395" s="12" t="str">
        <f t="shared" si="19"/>
        <v>Clase A++</v>
      </c>
    </row>
    <row r="396" spans="1:22" x14ac:dyDescent="0.2">
      <c r="A396" s="13"/>
      <c r="B396" s="14" t="str">
        <f>IF(A396="","",INDEX(proveedores[Proveedor],MATCH(A396,proveedores[Código],0)))</f>
        <v/>
      </c>
      <c r="C396" s="14" t="str">
        <f>IF(A396="","",INDEX(proveedores[Material],MATCH(A396,proveedores[Código],0)))</f>
        <v/>
      </c>
      <c r="D396" s="15" t="str">
        <f>IF(A396="","",INDEX(proveedores[Perfil],MATCH(A396,proveedores[Código],0)))</f>
        <v/>
      </c>
      <c r="E396" s="15" t="str">
        <f>IF(A396="","",IFERROR(INDEX(proveedores[Nivel de criticidad],MATCH(A396,proveedores[Código],0)),""))</f>
        <v/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5">
        <f t="shared" si="18"/>
        <v>100</v>
      </c>
      <c r="V396" s="12" t="str">
        <f t="shared" si="19"/>
        <v>Clase A++</v>
      </c>
    </row>
    <row r="397" spans="1:22" x14ac:dyDescent="0.2">
      <c r="A397" s="13"/>
      <c r="B397" s="14" t="str">
        <f>IF(A397="","",INDEX(proveedores[Proveedor],MATCH(A397,proveedores[Código],0)))</f>
        <v/>
      </c>
      <c r="C397" s="14" t="str">
        <f>IF(A397="","",INDEX(proveedores[Material],MATCH(A397,proveedores[Código],0)))</f>
        <v/>
      </c>
      <c r="D397" s="15" t="str">
        <f>IF(A397="","",INDEX(proveedores[Perfil],MATCH(A397,proveedores[Código],0)))</f>
        <v/>
      </c>
      <c r="E397" s="15" t="str">
        <f>IF(A397="","",IFERROR(INDEX(proveedores[Nivel de criticidad],MATCH(A397,proveedores[Código],0)),""))</f>
        <v/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5">
        <f t="shared" si="18"/>
        <v>100</v>
      </c>
      <c r="V397" s="12" t="str">
        <f t="shared" si="19"/>
        <v>Clase A++</v>
      </c>
    </row>
    <row r="398" spans="1:22" x14ac:dyDescent="0.2">
      <c r="A398" s="13"/>
      <c r="B398" s="14" t="str">
        <f>IF(A398="","",INDEX(proveedores[Proveedor],MATCH(A398,proveedores[Código],0)))</f>
        <v/>
      </c>
      <c r="C398" s="14" t="str">
        <f>IF(A398="","",INDEX(proveedores[Material],MATCH(A398,proveedores[Código],0)))</f>
        <v/>
      </c>
      <c r="D398" s="15" t="str">
        <f>IF(A398="","",INDEX(proveedores[Perfil],MATCH(A398,proveedores[Código],0)))</f>
        <v/>
      </c>
      <c r="E398" s="15" t="str">
        <f>IF(A398="","",IFERROR(INDEX(proveedores[Nivel de criticidad],MATCH(A398,proveedores[Código],0)),""))</f>
        <v/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5">
        <f t="shared" si="18"/>
        <v>100</v>
      </c>
      <c r="V398" s="12" t="str">
        <f t="shared" si="19"/>
        <v>Clase A++</v>
      </c>
    </row>
    <row r="399" spans="1:22" x14ac:dyDescent="0.2">
      <c r="A399" s="13"/>
      <c r="B399" s="14" t="str">
        <f>IF(A399="","",INDEX(proveedores[Proveedor],MATCH(A399,proveedores[Código],0)))</f>
        <v/>
      </c>
      <c r="C399" s="14" t="str">
        <f>IF(A399="","",INDEX(proveedores[Material],MATCH(A399,proveedores[Código],0)))</f>
        <v/>
      </c>
      <c r="D399" s="15" t="str">
        <f>IF(A399="","",INDEX(proveedores[Perfil],MATCH(A399,proveedores[Código],0)))</f>
        <v/>
      </c>
      <c r="E399" s="15" t="str">
        <f>IF(A399="","",IFERROR(INDEX(proveedores[Nivel de criticidad],MATCH(A399,proveedores[Código],0)),""))</f>
        <v/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5">
        <f t="shared" si="18"/>
        <v>100</v>
      </c>
      <c r="V399" s="12" t="str">
        <f t="shared" si="19"/>
        <v>Clase A++</v>
      </c>
    </row>
    <row r="400" spans="1:22" x14ac:dyDescent="0.2">
      <c r="A400" s="13"/>
      <c r="B400" s="14" t="str">
        <f>IF(A400="","",INDEX(proveedores[Proveedor],MATCH(A400,proveedores[Código],0)))</f>
        <v/>
      </c>
      <c r="C400" s="14" t="str">
        <f>IF(A400="","",INDEX(proveedores[Material],MATCH(A400,proveedores[Código],0)))</f>
        <v/>
      </c>
      <c r="D400" s="15" t="str">
        <f>IF(A400="","",INDEX(proveedores[Perfil],MATCH(A400,proveedores[Código],0)))</f>
        <v/>
      </c>
      <c r="E400" s="15" t="str">
        <f>IF(A400="","",IFERROR(INDEX(proveedores[Nivel de criticidad],MATCH(A400,proveedores[Código],0)),""))</f>
        <v/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5">
        <f t="shared" si="18"/>
        <v>100</v>
      </c>
      <c r="V400" s="12" t="str">
        <f t="shared" si="19"/>
        <v>Clase A++</v>
      </c>
    </row>
    <row r="401" spans="1:22" x14ac:dyDescent="0.2">
      <c r="A401" s="13"/>
      <c r="B401" s="14" t="str">
        <f>IF(A401="","",INDEX(proveedores[Proveedor],MATCH(A401,proveedores[Código],0)))</f>
        <v/>
      </c>
      <c r="C401" s="14" t="str">
        <f>IF(A401="","",INDEX(proveedores[Material],MATCH(A401,proveedores[Código],0)))</f>
        <v/>
      </c>
      <c r="D401" s="15" t="str">
        <f>IF(A401="","",INDEX(proveedores[Perfil],MATCH(A401,proveedores[Código],0)))</f>
        <v/>
      </c>
      <c r="E401" s="15" t="str">
        <f>IF(A401="","",IFERROR(INDEX(proveedores[Nivel de criticidad],MATCH(A401,proveedores[Código],0)),""))</f>
        <v/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5">
        <f t="shared" si="18"/>
        <v>100</v>
      </c>
      <c r="V401" s="12" t="str">
        <f t="shared" si="19"/>
        <v>Clase A++</v>
      </c>
    </row>
    <row r="402" spans="1:22" x14ac:dyDescent="0.2">
      <c r="A402" s="13"/>
      <c r="B402" s="14" t="str">
        <f>IF(A402="","",INDEX(proveedores[Proveedor],MATCH(A402,proveedores[Código],0)))</f>
        <v/>
      </c>
      <c r="C402" s="14" t="str">
        <f>IF(A402="","",INDEX(proveedores[Material],MATCH(A402,proveedores[Código],0)))</f>
        <v/>
      </c>
      <c r="D402" s="15" t="str">
        <f>IF(A402="","",INDEX(proveedores[Perfil],MATCH(A402,proveedores[Código],0)))</f>
        <v/>
      </c>
      <c r="E402" s="15" t="str">
        <f>IF(A402="","",IFERROR(INDEX(proveedores[Nivel de criticidad],MATCH(A402,proveedores[Código],0)),""))</f>
        <v/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5">
        <f t="shared" si="18"/>
        <v>100</v>
      </c>
      <c r="V402" s="12" t="str">
        <f t="shared" si="19"/>
        <v>Clase A++</v>
      </c>
    </row>
    <row r="403" spans="1:22" x14ac:dyDescent="0.2">
      <c r="A403" s="13"/>
      <c r="B403" s="14" t="str">
        <f>IF(A403="","",INDEX(proveedores[Proveedor],MATCH(A403,proveedores[Código],0)))</f>
        <v/>
      </c>
      <c r="C403" s="14" t="str">
        <f>IF(A403="","",INDEX(proveedores[Material],MATCH(A403,proveedores[Código],0)))</f>
        <v/>
      </c>
      <c r="D403" s="15" t="str">
        <f>IF(A403="","",INDEX(proveedores[Perfil],MATCH(A403,proveedores[Código],0)))</f>
        <v/>
      </c>
      <c r="E403" s="15" t="str">
        <f>IF(A403="","",IFERROR(INDEX(proveedores[Nivel de criticidad],MATCH(A403,proveedores[Código],0)),""))</f>
        <v/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5">
        <f t="shared" si="18"/>
        <v>100</v>
      </c>
      <c r="V403" s="12" t="str">
        <f t="shared" si="19"/>
        <v>Clase A++</v>
      </c>
    </row>
    <row r="404" spans="1:22" x14ac:dyDescent="0.2">
      <c r="A404" s="13"/>
      <c r="B404" s="14" t="str">
        <f>IF(A404="","",INDEX(proveedores[Proveedor],MATCH(A404,proveedores[Código],0)))</f>
        <v/>
      </c>
      <c r="C404" s="14" t="str">
        <f>IF(A404="","",INDEX(proveedores[Material],MATCH(A404,proveedores[Código],0)))</f>
        <v/>
      </c>
      <c r="D404" s="15" t="str">
        <f>IF(A404="","",INDEX(proveedores[Perfil],MATCH(A404,proveedores[Código],0)))</f>
        <v/>
      </c>
      <c r="E404" s="15" t="str">
        <f>IF(A404="","",IFERROR(INDEX(proveedores[Nivel de criticidad],MATCH(A404,proveedores[Código],0)),""))</f>
        <v/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5">
        <f t="shared" si="18"/>
        <v>100</v>
      </c>
      <c r="V404" s="12" t="str">
        <f t="shared" si="19"/>
        <v>Clase A++</v>
      </c>
    </row>
    <row r="405" spans="1:22" x14ac:dyDescent="0.2">
      <c r="A405" s="13"/>
      <c r="B405" s="14" t="str">
        <f>IF(A405="","",INDEX(proveedores[Proveedor],MATCH(A405,proveedores[Código],0)))</f>
        <v/>
      </c>
      <c r="C405" s="14" t="str">
        <f>IF(A405="","",INDEX(proveedores[Material],MATCH(A405,proveedores[Código],0)))</f>
        <v/>
      </c>
      <c r="D405" s="15" t="str">
        <f>IF(A405="","",INDEX(proveedores[Perfil],MATCH(A405,proveedores[Código],0)))</f>
        <v/>
      </c>
      <c r="E405" s="15" t="str">
        <f>IF(A405="","",IFERROR(INDEX(proveedores[Nivel de criticidad],MATCH(A405,proveedores[Código],0)),""))</f>
        <v/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5">
        <f t="shared" si="18"/>
        <v>100</v>
      </c>
      <c r="V405" s="12" t="str">
        <f t="shared" si="19"/>
        <v>Clase A++</v>
      </c>
    </row>
    <row r="406" spans="1:22" x14ac:dyDescent="0.2">
      <c r="A406" s="13"/>
      <c r="B406" s="14" t="str">
        <f>IF(A406="","",INDEX(proveedores[Proveedor],MATCH(A406,proveedores[Código],0)))</f>
        <v/>
      </c>
      <c r="C406" s="14" t="str">
        <f>IF(A406="","",INDEX(proveedores[Material],MATCH(A406,proveedores[Código],0)))</f>
        <v/>
      </c>
      <c r="D406" s="15" t="str">
        <f>IF(A406="","",INDEX(proveedores[Perfil],MATCH(A406,proveedores[Código],0)))</f>
        <v/>
      </c>
      <c r="E406" s="15" t="str">
        <f>IF(A406="","",IFERROR(INDEX(proveedores[Nivel de criticidad],MATCH(A406,proveedores[Código],0)),""))</f>
        <v/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5">
        <f t="shared" si="18"/>
        <v>100</v>
      </c>
      <c r="V406" s="12" t="str">
        <f t="shared" si="19"/>
        <v>Clase A++</v>
      </c>
    </row>
    <row r="407" spans="1:22" x14ac:dyDescent="0.2">
      <c r="A407" s="13"/>
      <c r="B407" s="14" t="str">
        <f>IF(A407="","",INDEX(proveedores[Proveedor],MATCH(A407,proveedores[Código],0)))</f>
        <v/>
      </c>
      <c r="C407" s="14" t="str">
        <f>IF(A407="","",INDEX(proveedores[Material],MATCH(A407,proveedores[Código],0)))</f>
        <v/>
      </c>
      <c r="D407" s="15" t="str">
        <f>IF(A407="","",INDEX(proveedores[Perfil],MATCH(A407,proveedores[Código],0)))</f>
        <v/>
      </c>
      <c r="E407" s="15" t="str">
        <f>IF(A407="","",IFERROR(INDEX(proveedores[Nivel de criticidad],MATCH(A407,proveedores[Código],0)),""))</f>
        <v/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5">
        <f t="shared" si="18"/>
        <v>100</v>
      </c>
      <c r="V407" s="12" t="str">
        <f t="shared" si="19"/>
        <v>Clase A++</v>
      </c>
    </row>
    <row r="408" spans="1:22" x14ac:dyDescent="0.2">
      <c r="A408" s="13"/>
      <c r="B408" s="14" t="str">
        <f>IF(A408="","",INDEX(proveedores[Proveedor],MATCH(A408,proveedores[Código],0)))</f>
        <v/>
      </c>
      <c r="C408" s="14" t="str">
        <f>IF(A408="","",INDEX(proveedores[Material],MATCH(A408,proveedores[Código],0)))</f>
        <v/>
      </c>
      <c r="D408" s="15" t="str">
        <f>IF(A408="","",INDEX(proveedores[Perfil],MATCH(A408,proveedores[Código],0)))</f>
        <v/>
      </c>
      <c r="E408" s="15" t="str">
        <f>IF(A408="","",IFERROR(INDEX(proveedores[Nivel de criticidad],MATCH(A408,proveedores[Código],0)),""))</f>
        <v/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5">
        <f t="shared" si="18"/>
        <v>100</v>
      </c>
      <c r="V408" s="12" t="str">
        <f t="shared" si="19"/>
        <v>Clase A++</v>
      </c>
    </row>
    <row r="409" spans="1:22" x14ac:dyDescent="0.2">
      <c r="A409" s="13"/>
      <c r="B409" s="14" t="str">
        <f>IF(A409="","",INDEX(proveedores[Proveedor],MATCH(A409,proveedores[Código],0)))</f>
        <v/>
      </c>
      <c r="C409" s="14" t="str">
        <f>IF(A409="","",INDEX(proveedores[Material],MATCH(A409,proveedores[Código],0)))</f>
        <v/>
      </c>
      <c r="D409" s="15" t="str">
        <f>IF(A409="","",INDEX(proveedores[Perfil],MATCH(A409,proveedores[Código],0)))</f>
        <v/>
      </c>
      <c r="E409" s="15" t="str">
        <f>IF(A409="","",IFERROR(INDEX(proveedores[Nivel de criticidad],MATCH(A409,proveedores[Código],0)),""))</f>
        <v/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5">
        <f t="shared" si="18"/>
        <v>100</v>
      </c>
      <c r="V409" s="12" t="str">
        <f t="shared" si="19"/>
        <v>Clase A++</v>
      </c>
    </row>
    <row r="410" spans="1:22" x14ac:dyDescent="0.2">
      <c r="A410" s="13"/>
      <c r="B410" s="14" t="str">
        <f>IF(A410="","",INDEX(proveedores[Proveedor],MATCH(A410,proveedores[Código],0)))</f>
        <v/>
      </c>
      <c r="C410" s="14" t="str">
        <f>IF(A410="","",INDEX(proveedores[Material],MATCH(A410,proveedores[Código],0)))</f>
        <v/>
      </c>
      <c r="D410" s="15" t="str">
        <f>IF(A410="","",INDEX(proveedores[Perfil],MATCH(A410,proveedores[Código],0)))</f>
        <v/>
      </c>
      <c r="E410" s="15" t="str">
        <f>IF(A410="","",IFERROR(INDEX(proveedores[Nivel de criticidad],MATCH(A410,proveedores[Código],0)),""))</f>
        <v/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5">
        <f t="shared" si="18"/>
        <v>100</v>
      </c>
      <c r="V410" s="12" t="str">
        <f t="shared" si="19"/>
        <v>Clase A++</v>
      </c>
    </row>
    <row r="411" spans="1:22" x14ac:dyDescent="0.2">
      <c r="A411" s="13"/>
      <c r="B411" s="14" t="str">
        <f>IF(A411="","",INDEX(proveedores[Proveedor],MATCH(A411,proveedores[Código],0)))</f>
        <v/>
      </c>
      <c r="C411" s="14" t="str">
        <f>IF(A411="","",INDEX(proveedores[Material],MATCH(A411,proveedores[Código],0)))</f>
        <v/>
      </c>
      <c r="D411" s="15" t="str">
        <f>IF(A411="","",INDEX(proveedores[Perfil],MATCH(A411,proveedores[Código],0)))</f>
        <v/>
      </c>
      <c r="E411" s="15" t="str">
        <f>IF(A411="","",IFERROR(INDEX(proveedores[Nivel de criticidad],MATCH(A411,proveedores[Código],0)),""))</f>
        <v/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5">
        <f t="shared" si="18"/>
        <v>100</v>
      </c>
      <c r="V411" s="12" t="str">
        <f t="shared" si="19"/>
        <v>Clase A++</v>
      </c>
    </row>
    <row r="412" spans="1:22" x14ac:dyDescent="0.2">
      <c r="A412" s="13"/>
      <c r="B412" s="14" t="str">
        <f>IF(A412="","",INDEX(proveedores[Proveedor],MATCH(A412,proveedores[Código],0)))</f>
        <v/>
      </c>
      <c r="C412" s="14" t="str">
        <f>IF(A412="","",INDEX(proveedores[Material],MATCH(A412,proveedores[Código],0)))</f>
        <v/>
      </c>
      <c r="D412" s="15" t="str">
        <f>IF(A412="","",INDEX(proveedores[Perfil],MATCH(A412,proveedores[Código],0)))</f>
        <v/>
      </c>
      <c r="E412" s="15" t="str">
        <f>IF(A412="","",IFERROR(INDEX(proveedores[Nivel de criticidad],MATCH(A412,proveedores[Código],0)),""))</f>
        <v/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5">
        <f t="shared" si="18"/>
        <v>100</v>
      </c>
      <c r="V412" s="12" t="str">
        <f t="shared" si="19"/>
        <v>Clase A++</v>
      </c>
    </row>
    <row r="413" spans="1:22" x14ac:dyDescent="0.2">
      <c r="A413" s="13"/>
      <c r="B413" s="14" t="str">
        <f>IF(A413="","",INDEX(proveedores[Proveedor],MATCH(A413,proveedores[Código],0)))</f>
        <v/>
      </c>
      <c r="C413" s="14" t="str">
        <f>IF(A413="","",INDEX(proveedores[Material],MATCH(A413,proveedores[Código],0)))</f>
        <v/>
      </c>
      <c r="D413" s="15" t="str">
        <f>IF(A413="","",INDEX(proveedores[Perfil],MATCH(A413,proveedores[Código],0)))</f>
        <v/>
      </c>
      <c r="E413" s="15" t="str">
        <f>IF(A413="","",IFERROR(INDEX(proveedores[Nivel de criticidad],MATCH(A413,proveedores[Código],0)),""))</f>
        <v/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5">
        <f t="shared" si="18"/>
        <v>100</v>
      </c>
      <c r="V413" s="12" t="str">
        <f t="shared" si="19"/>
        <v>Clase A++</v>
      </c>
    </row>
    <row r="414" spans="1:22" x14ac:dyDescent="0.2">
      <c r="A414" s="13"/>
      <c r="B414" s="14" t="str">
        <f>IF(A414="","",INDEX(proveedores[Proveedor],MATCH(A414,proveedores[Código],0)))</f>
        <v/>
      </c>
      <c r="C414" s="14" t="str">
        <f>IF(A414="","",INDEX(proveedores[Material],MATCH(A414,proveedores[Código],0)))</f>
        <v/>
      </c>
      <c r="D414" s="15" t="str">
        <f>IF(A414="","",INDEX(proveedores[Perfil],MATCH(A414,proveedores[Código],0)))</f>
        <v/>
      </c>
      <c r="E414" s="15" t="str">
        <f>IF(A414="","",IFERROR(INDEX(proveedores[Nivel de criticidad],MATCH(A414,proveedores[Código],0)),""))</f>
        <v/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5">
        <f t="shared" si="18"/>
        <v>100</v>
      </c>
      <c r="V414" s="12" t="str">
        <f t="shared" si="19"/>
        <v>Clase A++</v>
      </c>
    </row>
    <row r="415" spans="1:22" x14ac:dyDescent="0.2">
      <c r="A415" s="13"/>
      <c r="B415" s="14" t="str">
        <f>IF(A415="","",INDEX(proveedores[Proveedor],MATCH(A415,proveedores[Código],0)))</f>
        <v/>
      </c>
      <c r="C415" s="14" t="str">
        <f>IF(A415="","",INDEX(proveedores[Material],MATCH(A415,proveedores[Código],0)))</f>
        <v/>
      </c>
      <c r="D415" s="15" t="str">
        <f>IF(A415="","",INDEX(proveedores[Perfil],MATCH(A415,proveedores[Código],0)))</f>
        <v/>
      </c>
      <c r="E415" s="15" t="str">
        <f>IF(A415="","",IFERROR(INDEX(proveedores[Nivel de criticidad],MATCH(A415,proveedores[Código],0)),""))</f>
        <v/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5">
        <f t="shared" si="18"/>
        <v>100</v>
      </c>
      <c r="V415" s="12" t="str">
        <f t="shared" si="19"/>
        <v>Clase A++</v>
      </c>
    </row>
    <row r="416" spans="1:22" x14ac:dyDescent="0.2">
      <c r="A416" s="13"/>
      <c r="B416" s="14" t="str">
        <f>IF(A416="","",INDEX(proveedores[Proveedor],MATCH(A416,proveedores[Código],0)))</f>
        <v/>
      </c>
      <c r="C416" s="14" t="str">
        <f>IF(A416="","",INDEX(proveedores[Material],MATCH(A416,proveedores[Código],0)))</f>
        <v/>
      </c>
      <c r="D416" s="15" t="str">
        <f>IF(A416="","",INDEX(proveedores[Perfil],MATCH(A416,proveedores[Código],0)))</f>
        <v/>
      </c>
      <c r="E416" s="15" t="str">
        <f>IF(A416="","",IFERROR(INDEX(proveedores[Nivel de criticidad],MATCH(A416,proveedores[Código],0)),""))</f>
        <v/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5">
        <f t="shared" si="18"/>
        <v>100</v>
      </c>
      <c r="V416" s="12" t="str">
        <f t="shared" si="19"/>
        <v>Clase A++</v>
      </c>
    </row>
    <row r="417" spans="1:22" x14ac:dyDescent="0.2">
      <c r="A417" s="13"/>
      <c r="B417" s="14" t="str">
        <f>IF(A417="","",INDEX(proveedores[Proveedor],MATCH(A417,proveedores[Código],0)))</f>
        <v/>
      </c>
      <c r="C417" s="14" t="str">
        <f>IF(A417="","",INDEX(proveedores[Material],MATCH(A417,proveedores[Código],0)))</f>
        <v/>
      </c>
      <c r="D417" s="15" t="str">
        <f>IF(A417="","",INDEX(proveedores[Perfil],MATCH(A417,proveedores[Código],0)))</f>
        <v/>
      </c>
      <c r="E417" s="15" t="str">
        <f>IF(A417="","",IFERROR(INDEX(proveedores[Nivel de criticidad],MATCH(A417,proveedores[Código],0)),""))</f>
        <v/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5">
        <f t="shared" si="18"/>
        <v>100</v>
      </c>
      <c r="V417" s="12" t="str">
        <f t="shared" si="19"/>
        <v>Clase A++</v>
      </c>
    </row>
    <row r="418" spans="1:22" x14ac:dyDescent="0.2">
      <c r="A418" s="13"/>
      <c r="B418" s="14" t="str">
        <f>IF(A418="","",INDEX(proveedores[Proveedor],MATCH(A418,proveedores[Código],0)))</f>
        <v/>
      </c>
      <c r="C418" s="14" t="str">
        <f>IF(A418="","",INDEX(proveedores[Material],MATCH(A418,proveedores[Código],0)))</f>
        <v/>
      </c>
      <c r="D418" s="15" t="str">
        <f>IF(A418="","",INDEX(proveedores[Perfil],MATCH(A418,proveedores[Código],0)))</f>
        <v/>
      </c>
      <c r="E418" s="15" t="str">
        <f>IF(A418="","",IFERROR(INDEX(proveedores[Nivel de criticidad],MATCH(A418,proveedores[Código],0)),""))</f>
        <v/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5">
        <f t="shared" si="18"/>
        <v>100</v>
      </c>
      <c r="V418" s="12" t="str">
        <f t="shared" si="19"/>
        <v>Clase A++</v>
      </c>
    </row>
    <row r="419" spans="1:22" x14ac:dyDescent="0.2">
      <c r="A419" s="13"/>
      <c r="B419" s="14" t="str">
        <f>IF(A419="","",INDEX(proveedores[Proveedor],MATCH(A419,proveedores[Código],0)))</f>
        <v/>
      </c>
      <c r="C419" s="14" t="str">
        <f>IF(A419="","",INDEX(proveedores[Material],MATCH(A419,proveedores[Código],0)))</f>
        <v/>
      </c>
      <c r="D419" s="15" t="str">
        <f>IF(A419="","",INDEX(proveedores[Perfil],MATCH(A419,proveedores[Código],0)))</f>
        <v/>
      </c>
      <c r="E419" s="15" t="str">
        <f>IF(A419="","",IFERROR(INDEX(proveedores[Nivel de criticidad],MATCH(A419,proveedores[Código],0)),""))</f>
        <v/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5">
        <f t="shared" si="18"/>
        <v>100</v>
      </c>
      <c r="V419" s="12" t="str">
        <f t="shared" si="19"/>
        <v>Clase A++</v>
      </c>
    </row>
    <row r="420" spans="1:22" x14ac:dyDescent="0.2">
      <c r="A420" s="13"/>
      <c r="B420" s="14" t="str">
        <f>IF(A420="","",INDEX(proveedores[Proveedor],MATCH(A420,proveedores[Código],0)))</f>
        <v/>
      </c>
      <c r="C420" s="14" t="str">
        <f>IF(A420="","",INDEX(proveedores[Material],MATCH(A420,proveedores[Código],0)))</f>
        <v/>
      </c>
      <c r="D420" s="15" t="str">
        <f>IF(A420="","",INDEX(proveedores[Perfil],MATCH(A420,proveedores[Código],0)))</f>
        <v/>
      </c>
      <c r="E420" s="15" t="str">
        <f>IF(A420="","",IFERROR(INDEX(proveedores[Nivel de criticidad],MATCH(A420,proveedores[Código],0)),""))</f>
        <v/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5">
        <f t="shared" si="18"/>
        <v>100</v>
      </c>
      <c r="V420" s="12" t="str">
        <f t="shared" si="19"/>
        <v>Clase A++</v>
      </c>
    </row>
    <row r="421" spans="1:22" x14ac:dyDescent="0.2">
      <c r="A421" s="13"/>
      <c r="B421" s="14" t="str">
        <f>IF(A421="","",INDEX(proveedores[Proveedor],MATCH(A421,proveedores[Código],0)))</f>
        <v/>
      </c>
      <c r="C421" s="14" t="str">
        <f>IF(A421="","",INDEX(proveedores[Material],MATCH(A421,proveedores[Código],0)))</f>
        <v/>
      </c>
      <c r="D421" s="15" t="str">
        <f>IF(A421="","",INDEX(proveedores[Perfil],MATCH(A421,proveedores[Código],0)))</f>
        <v/>
      </c>
      <c r="E421" s="15" t="str">
        <f>IF(A421="","",IFERROR(INDEX(proveedores[Nivel de criticidad],MATCH(A421,proveedores[Código],0)),""))</f>
        <v/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5">
        <f t="shared" si="18"/>
        <v>100</v>
      </c>
      <c r="V421" s="12" t="str">
        <f t="shared" si="19"/>
        <v>Clase A++</v>
      </c>
    </row>
    <row r="422" spans="1:22" x14ac:dyDescent="0.2">
      <c r="A422" s="13"/>
      <c r="B422" s="14" t="str">
        <f>IF(A422="","",INDEX(proveedores[Proveedor],MATCH(A422,proveedores[Código],0)))</f>
        <v/>
      </c>
      <c r="C422" s="14" t="str">
        <f>IF(A422="","",INDEX(proveedores[Material],MATCH(A422,proveedores[Código],0)))</f>
        <v/>
      </c>
      <c r="D422" s="15" t="str">
        <f>IF(A422="","",INDEX(proveedores[Perfil],MATCH(A422,proveedores[Código],0)))</f>
        <v/>
      </c>
      <c r="E422" s="15" t="str">
        <f>IF(A422="","",IFERROR(INDEX(proveedores[Nivel de criticidad],MATCH(A422,proveedores[Código],0)),""))</f>
        <v/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5">
        <f t="shared" si="18"/>
        <v>100</v>
      </c>
      <c r="V422" s="12" t="str">
        <f t="shared" si="19"/>
        <v>Clase A++</v>
      </c>
    </row>
    <row r="423" spans="1:22" x14ac:dyDescent="0.2">
      <c r="A423" s="13"/>
      <c r="B423" s="14" t="str">
        <f>IF(A423="","",INDEX(proveedores[Proveedor],MATCH(A423,proveedores[Código],0)))</f>
        <v/>
      </c>
      <c r="C423" s="14" t="str">
        <f>IF(A423="","",INDEX(proveedores[Material],MATCH(A423,proveedores[Código],0)))</f>
        <v/>
      </c>
      <c r="D423" s="15" t="str">
        <f>IF(A423="","",INDEX(proveedores[Perfil],MATCH(A423,proveedores[Código],0)))</f>
        <v/>
      </c>
      <c r="E423" s="15" t="str">
        <f>IF(A423="","",IFERROR(INDEX(proveedores[Nivel de criticidad],MATCH(A423,proveedores[Código],0)),""))</f>
        <v/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5">
        <f t="shared" si="18"/>
        <v>100</v>
      </c>
      <c r="V423" s="12" t="str">
        <f t="shared" si="19"/>
        <v>Clase A++</v>
      </c>
    </row>
    <row r="424" spans="1:22" x14ac:dyDescent="0.2">
      <c r="A424" s="13"/>
      <c r="B424" s="14" t="str">
        <f>IF(A424="","",INDEX(proveedores[Proveedor],MATCH(A424,proveedores[Código],0)))</f>
        <v/>
      </c>
      <c r="C424" s="14" t="str">
        <f>IF(A424="","",INDEX(proveedores[Material],MATCH(A424,proveedores[Código],0)))</f>
        <v/>
      </c>
      <c r="D424" s="15" t="str">
        <f>IF(A424="","",INDEX(proveedores[Perfil],MATCH(A424,proveedores[Código],0)))</f>
        <v/>
      </c>
      <c r="E424" s="15" t="str">
        <f>IF(A424="","",IFERROR(INDEX(proveedores[Nivel de criticidad],MATCH(A424,proveedores[Código],0)),""))</f>
        <v/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5">
        <f t="shared" si="18"/>
        <v>100</v>
      </c>
      <c r="V424" s="12" t="str">
        <f t="shared" si="19"/>
        <v>Clase A++</v>
      </c>
    </row>
    <row r="425" spans="1:22" x14ac:dyDescent="0.2">
      <c r="A425" s="13"/>
      <c r="B425" s="14" t="str">
        <f>IF(A425="","",INDEX(proveedores[Proveedor],MATCH(A425,proveedores[Código],0)))</f>
        <v/>
      </c>
      <c r="C425" s="14" t="str">
        <f>IF(A425="","",INDEX(proveedores[Material],MATCH(A425,proveedores[Código],0)))</f>
        <v/>
      </c>
      <c r="D425" s="15" t="str">
        <f>IF(A425="","",INDEX(proveedores[Perfil],MATCH(A425,proveedores[Código],0)))</f>
        <v/>
      </c>
      <c r="E425" s="15" t="str">
        <f>IF(A425="","",IFERROR(INDEX(proveedores[Nivel de criticidad],MATCH(A425,proveedores[Código],0)),""))</f>
        <v/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5">
        <f t="shared" si="18"/>
        <v>100</v>
      </c>
      <c r="V425" s="12" t="str">
        <f t="shared" si="19"/>
        <v>Clase A++</v>
      </c>
    </row>
    <row r="426" spans="1:22" x14ac:dyDescent="0.2">
      <c r="A426" s="13"/>
      <c r="B426" s="14" t="str">
        <f>IF(A426="","",INDEX(proveedores[Proveedor],MATCH(A426,proveedores[Código],0)))</f>
        <v/>
      </c>
      <c r="C426" s="14" t="str">
        <f>IF(A426="","",INDEX(proveedores[Material],MATCH(A426,proveedores[Código],0)))</f>
        <v/>
      </c>
      <c r="D426" s="15" t="str">
        <f>IF(A426="","",INDEX(proveedores[Perfil],MATCH(A426,proveedores[Código],0)))</f>
        <v/>
      </c>
      <c r="E426" s="15" t="str">
        <f>IF(A426="","",IFERROR(INDEX(proveedores[Nivel de criticidad],MATCH(A426,proveedores[Código],0)),""))</f>
        <v/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5">
        <f t="shared" si="18"/>
        <v>100</v>
      </c>
      <c r="V426" s="12" t="str">
        <f t="shared" si="19"/>
        <v>Clase A++</v>
      </c>
    </row>
    <row r="427" spans="1:22" x14ac:dyDescent="0.2">
      <c r="A427" s="13"/>
      <c r="B427" s="14" t="str">
        <f>IF(A427="","",INDEX(proveedores[Proveedor],MATCH(A427,proveedores[Código],0)))</f>
        <v/>
      </c>
      <c r="C427" s="14" t="str">
        <f>IF(A427="","",INDEX(proveedores[Material],MATCH(A427,proveedores[Código],0)))</f>
        <v/>
      </c>
      <c r="D427" s="15" t="str">
        <f>IF(A427="","",INDEX(proveedores[Perfil],MATCH(A427,proveedores[Código],0)))</f>
        <v/>
      </c>
      <c r="E427" s="15" t="str">
        <f>IF(A427="","",IFERROR(INDEX(proveedores[Nivel de criticidad],MATCH(A427,proveedores[Código],0)),""))</f>
        <v/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5">
        <f t="shared" si="18"/>
        <v>100</v>
      </c>
      <c r="V427" s="12" t="str">
        <f t="shared" si="19"/>
        <v>Clase A++</v>
      </c>
    </row>
    <row r="428" spans="1:22" x14ac:dyDescent="0.2">
      <c r="A428" s="13"/>
      <c r="B428" s="14" t="str">
        <f>IF(A428="","",INDEX(proveedores[Proveedor],MATCH(A428,proveedores[Código],0)))</f>
        <v/>
      </c>
      <c r="C428" s="14" t="str">
        <f>IF(A428="","",INDEX(proveedores[Material],MATCH(A428,proveedores[Código],0)))</f>
        <v/>
      </c>
      <c r="D428" s="15" t="str">
        <f>IF(A428="","",INDEX(proveedores[Perfil],MATCH(A428,proveedores[Código],0)))</f>
        <v/>
      </c>
      <c r="E428" s="15" t="str">
        <f>IF(A428="","",IFERROR(INDEX(proveedores[Nivel de criticidad],MATCH(A428,proveedores[Código],0)),""))</f>
        <v/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5">
        <f t="shared" si="18"/>
        <v>100</v>
      </c>
      <c r="V428" s="12" t="str">
        <f t="shared" si="19"/>
        <v>Clase A++</v>
      </c>
    </row>
    <row r="429" spans="1:22" x14ac:dyDescent="0.2">
      <c r="A429" s="13"/>
      <c r="B429" s="14" t="str">
        <f>IF(A429="","",INDEX(proveedores[Proveedor],MATCH(A429,proveedores[Código],0)))</f>
        <v/>
      </c>
      <c r="C429" s="14" t="str">
        <f>IF(A429="","",INDEX(proveedores[Material],MATCH(A429,proveedores[Código],0)))</f>
        <v/>
      </c>
      <c r="D429" s="15" t="str">
        <f>IF(A429="","",INDEX(proveedores[Perfil],MATCH(A429,proveedores[Código],0)))</f>
        <v/>
      </c>
      <c r="E429" s="15" t="str">
        <f>IF(A429="","",IFERROR(INDEX(proveedores[Nivel de criticidad],MATCH(A429,proveedores[Código],0)),""))</f>
        <v/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5">
        <f t="shared" si="18"/>
        <v>100</v>
      </c>
      <c r="V429" s="12" t="str">
        <f t="shared" si="19"/>
        <v>Clase A++</v>
      </c>
    </row>
    <row r="430" spans="1:22" x14ac:dyDescent="0.2">
      <c r="A430" s="13"/>
      <c r="B430" s="14" t="str">
        <f>IF(A430="","",INDEX(proveedores[Proveedor],MATCH(A430,proveedores[Código],0)))</f>
        <v/>
      </c>
      <c r="C430" s="14" t="str">
        <f>IF(A430="","",INDEX(proveedores[Material],MATCH(A430,proveedores[Código],0)))</f>
        <v/>
      </c>
      <c r="D430" s="15" t="str">
        <f>IF(A430="","",INDEX(proveedores[Perfil],MATCH(A430,proveedores[Código],0)))</f>
        <v/>
      </c>
      <c r="E430" s="15" t="str">
        <f>IF(A430="","",IFERROR(INDEX(proveedores[Nivel de criticidad],MATCH(A430,proveedores[Código],0)),""))</f>
        <v/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5">
        <f t="shared" si="18"/>
        <v>100</v>
      </c>
      <c r="V430" s="12" t="str">
        <f t="shared" si="19"/>
        <v>Clase A++</v>
      </c>
    </row>
    <row r="431" spans="1:22" x14ac:dyDescent="0.2">
      <c r="A431" s="13"/>
      <c r="B431" s="14" t="str">
        <f>IF(A431="","",INDEX(proveedores[Proveedor],MATCH(A431,proveedores[Código],0)))</f>
        <v/>
      </c>
      <c r="C431" s="14" t="str">
        <f>IF(A431="","",INDEX(proveedores[Material],MATCH(A431,proveedores[Código],0)))</f>
        <v/>
      </c>
      <c r="D431" s="15" t="str">
        <f>IF(A431="","",INDEX(proveedores[Perfil],MATCH(A431,proveedores[Código],0)))</f>
        <v/>
      </c>
      <c r="E431" s="15" t="str">
        <f>IF(A431="","",IFERROR(INDEX(proveedores[Nivel de criticidad],MATCH(A431,proveedores[Código],0)),""))</f>
        <v/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5">
        <f t="shared" si="18"/>
        <v>100</v>
      </c>
      <c r="V431" s="12" t="str">
        <f t="shared" si="19"/>
        <v>Clase A++</v>
      </c>
    </row>
    <row r="432" spans="1:22" x14ac:dyDescent="0.2">
      <c r="A432" s="13"/>
      <c r="B432" s="14" t="str">
        <f>IF(A432="","",INDEX(proveedores[Proveedor],MATCH(A432,proveedores[Código],0)))</f>
        <v/>
      </c>
      <c r="C432" s="14" t="str">
        <f>IF(A432="","",INDEX(proveedores[Material],MATCH(A432,proveedores[Código],0)))</f>
        <v/>
      </c>
      <c r="D432" s="15" t="str">
        <f>IF(A432="","",INDEX(proveedores[Perfil],MATCH(A432,proveedores[Código],0)))</f>
        <v/>
      </c>
      <c r="E432" s="15" t="str">
        <f>IF(A432="","",IFERROR(INDEX(proveedores[Nivel de criticidad],MATCH(A432,proveedores[Código],0)),""))</f>
        <v/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5">
        <f t="shared" si="18"/>
        <v>100</v>
      </c>
      <c r="V432" s="12" t="str">
        <f t="shared" si="19"/>
        <v>Clase A++</v>
      </c>
    </row>
    <row r="433" spans="1:22" x14ac:dyDescent="0.2">
      <c r="A433" s="13"/>
      <c r="B433" s="14" t="str">
        <f>IF(A433="","",INDEX(proveedores[Proveedor],MATCH(A433,proveedores[Código],0)))</f>
        <v/>
      </c>
      <c r="C433" s="14" t="str">
        <f>IF(A433="","",INDEX(proveedores[Material],MATCH(A433,proveedores[Código],0)))</f>
        <v/>
      </c>
      <c r="D433" s="15" t="str">
        <f>IF(A433="","",INDEX(proveedores[Perfil],MATCH(A433,proveedores[Código],0)))</f>
        <v/>
      </c>
      <c r="E433" s="15" t="str">
        <f>IF(A433="","",IFERROR(INDEX(proveedores[Nivel de criticidad],MATCH(A433,proveedores[Código],0)),""))</f>
        <v/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5">
        <f t="shared" si="18"/>
        <v>100</v>
      </c>
      <c r="V433" s="12" t="str">
        <f t="shared" si="19"/>
        <v>Clase A++</v>
      </c>
    </row>
    <row r="434" spans="1:22" x14ac:dyDescent="0.2">
      <c r="A434" s="13"/>
      <c r="B434" s="14" t="str">
        <f>IF(A434="","",INDEX(proveedores[Proveedor],MATCH(A434,proveedores[Código],0)))</f>
        <v/>
      </c>
      <c r="C434" s="14" t="str">
        <f>IF(A434="","",INDEX(proveedores[Material],MATCH(A434,proveedores[Código],0)))</f>
        <v/>
      </c>
      <c r="D434" s="15" t="str">
        <f>IF(A434="","",INDEX(proveedores[Perfil],MATCH(A434,proveedores[Código],0)))</f>
        <v/>
      </c>
      <c r="E434" s="15" t="str">
        <f>IF(A434="","",IFERROR(INDEX(proveedores[Nivel de criticidad],MATCH(A434,proveedores[Código],0)),""))</f>
        <v/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5">
        <f t="shared" si="18"/>
        <v>100</v>
      </c>
      <c r="V434" s="12" t="str">
        <f t="shared" si="19"/>
        <v>Clase A++</v>
      </c>
    </row>
    <row r="435" spans="1:22" x14ac:dyDescent="0.2">
      <c r="A435" s="13"/>
      <c r="B435" s="14" t="str">
        <f>IF(A435="","",INDEX(proveedores[Proveedor],MATCH(A435,proveedores[Código],0)))</f>
        <v/>
      </c>
      <c r="C435" s="14" t="str">
        <f>IF(A435="","",INDEX(proveedores[Material],MATCH(A435,proveedores[Código],0)))</f>
        <v/>
      </c>
      <c r="D435" s="15" t="str">
        <f>IF(A435="","",INDEX(proveedores[Perfil],MATCH(A435,proveedores[Código],0)))</f>
        <v/>
      </c>
      <c r="E435" s="15" t="str">
        <f>IF(A435="","",IFERROR(INDEX(proveedores[Nivel de criticidad],MATCH(A435,proveedores[Código],0)),""))</f>
        <v/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5">
        <f t="shared" si="18"/>
        <v>100</v>
      </c>
      <c r="V435" s="12" t="str">
        <f t="shared" si="19"/>
        <v>Clase A++</v>
      </c>
    </row>
    <row r="436" spans="1:22" x14ac:dyDescent="0.2">
      <c r="A436" s="13"/>
      <c r="B436" s="14" t="str">
        <f>IF(A436="","",INDEX(proveedores[Proveedor],MATCH(A436,proveedores[Código],0)))</f>
        <v/>
      </c>
      <c r="C436" s="14" t="str">
        <f>IF(A436="","",INDEX(proveedores[Material],MATCH(A436,proveedores[Código],0)))</f>
        <v/>
      </c>
      <c r="D436" s="15" t="str">
        <f>IF(A436="","",INDEX(proveedores[Perfil],MATCH(A436,proveedores[Código],0)))</f>
        <v/>
      </c>
      <c r="E436" s="15" t="str">
        <f>IF(A436="","",IFERROR(INDEX(proveedores[Nivel de criticidad],MATCH(A436,proveedores[Código],0)),""))</f>
        <v/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5">
        <f t="shared" si="18"/>
        <v>100</v>
      </c>
      <c r="V436" s="12" t="str">
        <f t="shared" si="19"/>
        <v>Clase A++</v>
      </c>
    </row>
    <row r="437" spans="1:22" x14ac:dyDescent="0.2">
      <c r="A437" s="13"/>
      <c r="B437" s="14" t="str">
        <f>IF(A437="","",INDEX(proveedores[Proveedor],MATCH(A437,proveedores[Código],0)))</f>
        <v/>
      </c>
      <c r="C437" s="14" t="str">
        <f>IF(A437="","",INDEX(proveedores[Material],MATCH(A437,proveedores[Código],0)))</f>
        <v/>
      </c>
      <c r="D437" s="15" t="str">
        <f>IF(A437="","",INDEX(proveedores[Perfil],MATCH(A437,proveedores[Código],0)))</f>
        <v/>
      </c>
      <c r="E437" s="15" t="str">
        <f>IF(A437="","",IFERROR(INDEX(proveedores[Nivel de criticidad],MATCH(A437,proveedores[Código],0)),""))</f>
        <v/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5">
        <f t="shared" si="18"/>
        <v>100</v>
      </c>
      <c r="V437" s="12" t="str">
        <f t="shared" si="19"/>
        <v>Clase A++</v>
      </c>
    </row>
    <row r="438" spans="1:22" x14ac:dyDescent="0.2">
      <c r="A438" s="13"/>
      <c r="B438" s="14" t="str">
        <f>IF(A438="","",INDEX(proveedores[Proveedor],MATCH(A438,proveedores[Código],0)))</f>
        <v/>
      </c>
      <c r="C438" s="14" t="str">
        <f>IF(A438="","",INDEX(proveedores[Material],MATCH(A438,proveedores[Código],0)))</f>
        <v/>
      </c>
      <c r="D438" s="15" t="str">
        <f>IF(A438="","",INDEX(proveedores[Perfil],MATCH(A438,proveedores[Código],0)))</f>
        <v/>
      </c>
      <c r="E438" s="15" t="str">
        <f>IF(A438="","",IFERROR(INDEX(proveedores[Nivel de criticidad],MATCH(A438,proveedores[Código],0)),""))</f>
        <v/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5">
        <f t="shared" si="18"/>
        <v>100</v>
      </c>
      <c r="V438" s="12" t="str">
        <f t="shared" si="19"/>
        <v>Clase A++</v>
      </c>
    </row>
    <row r="439" spans="1:22" x14ac:dyDescent="0.2">
      <c r="A439" s="13"/>
      <c r="B439" s="14" t="str">
        <f>IF(A439="","",INDEX(proveedores[Proveedor],MATCH(A439,proveedores[Código],0)))</f>
        <v/>
      </c>
      <c r="C439" s="14" t="str">
        <f>IF(A439="","",INDEX(proveedores[Material],MATCH(A439,proveedores[Código],0)))</f>
        <v/>
      </c>
      <c r="D439" s="15" t="str">
        <f>IF(A439="","",INDEX(proveedores[Perfil],MATCH(A439,proveedores[Código],0)))</f>
        <v/>
      </c>
      <c r="E439" s="15" t="str">
        <f>IF(A439="","",IFERROR(INDEX(proveedores[Nivel de criticidad],MATCH(A439,proveedores[Código],0)),""))</f>
        <v/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5">
        <f t="shared" si="18"/>
        <v>100</v>
      </c>
      <c r="V439" s="12" t="str">
        <f t="shared" si="19"/>
        <v>Clase A++</v>
      </c>
    </row>
    <row r="440" spans="1:22" x14ac:dyDescent="0.2">
      <c r="A440" s="13"/>
      <c r="B440" s="14" t="str">
        <f>IF(A440="","",INDEX(proveedores[Proveedor],MATCH(A440,proveedores[Código],0)))</f>
        <v/>
      </c>
      <c r="C440" s="14" t="str">
        <f>IF(A440="","",INDEX(proveedores[Material],MATCH(A440,proveedores[Código],0)))</f>
        <v/>
      </c>
      <c r="D440" s="15" t="str">
        <f>IF(A440="","",INDEX(proveedores[Perfil],MATCH(A440,proveedores[Código],0)))</f>
        <v/>
      </c>
      <c r="E440" s="15" t="str">
        <f>IF(A440="","",IFERROR(INDEX(proveedores[Nivel de criticidad],MATCH(A440,proveedores[Código],0)),""))</f>
        <v/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5">
        <f t="shared" si="18"/>
        <v>100</v>
      </c>
      <c r="V440" s="12" t="str">
        <f t="shared" si="19"/>
        <v>Clase A++</v>
      </c>
    </row>
    <row r="441" spans="1:22" x14ac:dyDescent="0.2">
      <c r="A441" s="13"/>
      <c r="B441" s="14" t="str">
        <f>IF(A441="","",INDEX(proveedores[Proveedor],MATCH(A441,proveedores[Código],0)))</f>
        <v/>
      </c>
      <c r="C441" s="14" t="str">
        <f>IF(A441="","",INDEX(proveedores[Material],MATCH(A441,proveedores[Código],0)))</f>
        <v/>
      </c>
      <c r="D441" s="15" t="str">
        <f>IF(A441="","",INDEX(proveedores[Perfil],MATCH(A441,proveedores[Código],0)))</f>
        <v/>
      </c>
      <c r="E441" s="15" t="str">
        <f>IF(A441="","",IFERROR(INDEX(proveedores[Nivel de criticidad],MATCH(A441,proveedores[Código],0)),""))</f>
        <v/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5">
        <f t="shared" si="18"/>
        <v>100</v>
      </c>
      <c r="V441" s="12" t="str">
        <f t="shared" si="19"/>
        <v>Clase A++</v>
      </c>
    </row>
    <row r="442" spans="1:22" x14ac:dyDescent="0.2">
      <c r="A442" s="13"/>
      <c r="B442" s="14" t="str">
        <f>IF(A442="","",INDEX(proveedores[Proveedor],MATCH(A442,proveedores[Código],0)))</f>
        <v/>
      </c>
      <c r="C442" s="14" t="str">
        <f>IF(A442="","",INDEX(proveedores[Material],MATCH(A442,proveedores[Código],0)))</f>
        <v/>
      </c>
      <c r="D442" s="15" t="str">
        <f>IF(A442="","",INDEX(proveedores[Perfil],MATCH(A442,proveedores[Código],0)))</f>
        <v/>
      </c>
      <c r="E442" s="15" t="str">
        <f>IF(A442="","",IFERROR(INDEX(proveedores[Nivel de criticidad],MATCH(A442,proveedores[Código],0)),""))</f>
        <v/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5">
        <f t="shared" si="18"/>
        <v>100</v>
      </c>
      <c r="V442" s="12" t="str">
        <f t="shared" si="19"/>
        <v>Clase A++</v>
      </c>
    </row>
    <row r="443" spans="1:22" x14ac:dyDescent="0.2">
      <c r="A443" s="13"/>
      <c r="B443" s="14" t="str">
        <f>IF(A443="","",INDEX(proveedores[Proveedor],MATCH(A443,proveedores[Código],0)))</f>
        <v/>
      </c>
      <c r="C443" s="14" t="str">
        <f>IF(A443="","",INDEX(proveedores[Material],MATCH(A443,proveedores[Código],0)))</f>
        <v/>
      </c>
      <c r="D443" s="15" t="str">
        <f>IF(A443="","",INDEX(proveedores[Perfil],MATCH(A443,proveedores[Código],0)))</f>
        <v/>
      </c>
      <c r="E443" s="15" t="str">
        <f>IF(A443="","",IFERROR(INDEX(proveedores[Nivel de criticidad],MATCH(A443,proveedores[Código],0)),""))</f>
        <v/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5">
        <f t="shared" si="18"/>
        <v>100</v>
      </c>
      <c r="V443" s="12" t="str">
        <f t="shared" si="19"/>
        <v>Clase A++</v>
      </c>
    </row>
    <row r="444" spans="1:22" x14ac:dyDescent="0.2">
      <c r="A444" s="13"/>
      <c r="B444" s="14" t="str">
        <f>IF(A444="","",INDEX(proveedores[Proveedor],MATCH(A444,proveedores[Código],0)))</f>
        <v/>
      </c>
      <c r="C444" s="14" t="str">
        <f>IF(A444="","",INDEX(proveedores[Material],MATCH(A444,proveedores[Código],0)))</f>
        <v/>
      </c>
      <c r="D444" s="15" t="str">
        <f>IF(A444="","",INDEX(proveedores[Perfil],MATCH(A444,proveedores[Código],0)))</f>
        <v/>
      </c>
      <c r="E444" s="15" t="str">
        <f>IF(A444="","",IFERROR(INDEX(proveedores[Nivel de criticidad],MATCH(A444,proveedores[Código],0)),""))</f>
        <v/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5">
        <f t="shared" si="18"/>
        <v>100</v>
      </c>
      <c r="V444" s="12" t="str">
        <f t="shared" si="19"/>
        <v>Clase A++</v>
      </c>
    </row>
    <row r="445" spans="1:22" x14ac:dyDescent="0.2">
      <c r="A445" s="13"/>
      <c r="B445" s="14" t="str">
        <f>IF(A445="","",INDEX(proveedores[Proveedor],MATCH(A445,proveedores[Código],0)))</f>
        <v/>
      </c>
      <c r="C445" s="14" t="str">
        <f>IF(A445="","",INDEX(proveedores[Material],MATCH(A445,proveedores[Código],0)))</f>
        <v/>
      </c>
      <c r="D445" s="15" t="str">
        <f>IF(A445="","",INDEX(proveedores[Perfil],MATCH(A445,proveedores[Código],0)))</f>
        <v/>
      </c>
      <c r="E445" s="15" t="str">
        <f>IF(A445="","",IFERROR(INDEX(proveedores[Nivel de criticidad],MATCH(A445,proveedores[Código],0)),""))</f>
        <v/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5">
        <f t="shared" si="18"/>
        <v>100</v>
      </c>
      <c r="V445" s="12" t="str">
        <f t="shared" si="19"/>
        <v>Clase A++</v>
      </c>
    </row>
    <row r="446" spans="1:22" x14ac:dyDescent="0.2">
      <c r="A446" s="13"/>
      <c r="B446" s="14" t="str">
        <f>IF(A446="","",INDEX(proveedores[Proveedor],MATCH(A446,proveedores[Código],0)))</f>
        <v/>
      </c>
      <c r="C446" s="14" t="str">
        <f>IF(A446="","",INDEX(proveedores[Material],MATCH(A446,proveedores[Código],0)))</f>
        <v/>
      </c>
      <c r="D446" s="15" t="str">
        <f>IF(A446="","",INDEX(proveedores[Perfil],MATCH(A446,proveedores[Código],0)))</f>
        <v/>
      </c>
      <c r="E446" s="15" t="str">
        <f>IF(A446="","",IFERROR(INDEX(proveedores[Nivel de criticidad],MATCH(A446,proveedores[Código],0)),""))</f>
        <v/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5">
        <f t="shared" si="18"/>
        <v>100</v>
      </c>
      <c r="V446" s="12" t="str">
        <f t="shared" si="19"/>
        <v>Clase A++</v>
      </c>
    </row>
    <row r="447" spans="1:22" x14ac:dyDescent="0.2">
      <c r="A447" s="13"/>
      <c r="B447" s="14" t="str">
        <f>IF(A447="","",INDEX(proveedores[Proveedor],MATCH(A447,proveedores[Código],0)))</f>
        <v/>
      </c>
      <c r="C447" s="14" t="str">
        <f>IF(A447="","",INDEX(proveedores[Material],MATCH(A447,proveedores[Código],0)))</f>
        <v/>
      </c>
      <c r="D447" s="15" t="str">
        <f>IF(A447="","",INDEX(proveedores[Perfil],MATCH(A447,proveedores[Código],0)))</f>
        <v/>
      </c>
      <c r="E447" s="15" t="str">
        <f>IF(A447="","",IFERROR(INDEX(proveedores[Nivel de criticidad],MATCH(A447,proveedores[Código],0)),""))</f>
        <v/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5">
        <f t="shared" si="18"/>
        <v>100</v>
      </c>
      <c r="V447" s="12" t="str">
        <f t="shared" si="19"/>
        <v>Clase A++</v>
      </c>
    </row>
    <row r="448" spans="1:22" x14ac:dyDescent="0.2">
      <c r="A448" s="13"/>
      <c r="B448" s="14" t="str">
        <f>IF(A448="","",INDEX(proveedores[Proveedor],MATCH(A448,proveedores[Código],0)))</f>
        <v/>
      </c>
      <c r="C448" s="14" t="str">
        <f>IF(A448="","",INDEX(proveedores[Material],MATCH(A448,proveedores[Código],0)))</f>
        <v/>
      </c>
      <c r="D448" s="15" t="str">
        <f>IF(A448="","",INDEX(proveedores[Perfil],MATCH(A448,proveedores[Código],0)))</f>
        <v/>
      </c>
      <c r="E448" s="15" t="str">
        <f>IF(A448="","",IFERROR(INDEX(proveedores[Nivel de criticidad],MATCH(A448,proveedores[Código],0)),""))</f>
        <v/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5">
        <f t="shared" si="18"/>
        <v>100</v>
      </c>
      <c r="V448" s="12" t="str">
        <f t="shared" si="19"/>
        <v>Clase A++</v>
      </c>
    </row>
    <row r="449" spans="1:22" x14ac:dyDescent="0.2">
      <c r="A449" s="13"/>
      <c r="B449" s="14" t="str">
        <f>IF(A449="","",INDEX(proveedores[Proveedor],MATCH(A449,proveedores[Código],0)))</f>
        <v/>
      </c>
      <c r="C449" s="14" t="str">
        <f>IF(A449="","",INDEX(proveedores[Material],MATCH(A449,proveedores[Código],0)))</f>
        <v/>
      </c>
      <c r="D449" s="15" t="str">
        <f>IF(A449="","",INDEX(proveedores[Perfil],MATCH(A449,proveedores[Código],0)))</f>
        <v/>
      </c>
      <c r="E449" s="15" t="str">
        <f>IF(A449="","",IFERROR(INDEX(proveedores[Nivel de criticidad],MATCH(A449,proveedores[Código],0)),""))</f>
        <v/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5">
        <f t="shared" si="18"/>
        <v>100</v>
      </c>
      <c r="V449" s="12" t="str">
        <f t="shared" si="19"/>
        <v>Clase A++</v>
      </c>
    </row>
    <row r="450" spans="1:22" x14ac:dyDescent="0.2">
      <c r="A450" s="13"/>
      <c r="B450" s="14" t="str">
        <f>IF(A450="","",INDEX(proveedores[Proveedor],MATCH(A450,proveedores[Código],0)))</f>
        <v/>
      </c>
      <c r="C450" s="14" t="str">
        <f>IF(A450="","",INDEX(proveedores[Material],MATCH(A450,proveedores[Código],0)))</f>
        <v/>
      </c>
      <c r="D450" s="15" t="str">
        <f>IF(A450="","",INDEX(proveedores[Perfil],MATCH(A450,proveedores[Código],0)))</f>
        <v/>
      </c>
      <c r="E450" s="15" t="str">
        <f>IF(A450="","",IFERROR(INDEX(proveedores[Nivel de criticidad],MATCH(A450,proveedores[Código],0)),""))</f>
        <v/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5">
        <f t="shared" si="18"/>
        <v>100</v>
      </c>
      <c r="V450" s="12" t="str">
        <f t="shared" si="19"/>
        <v>Clase A++</v>
      </c>
    </row>
    <row r="451" spans="1:22" x14ac:dyDescent="0.2">
      <c r="A451" s="13"/>
      <c r="B451" s="14" t="str">
        <f>IF(A451="","",INDEX(proveedores[Proveedor],MATCH(A451,proveedores[Código],0)))</f>
        <v/>
      </c>
      <c r="C451" s="14" t="str">
        <f>IF(A451="","",INDEX(proveedores[Material],MATCH(A451,proveedores[Código],0)))</f>
        <v/>
      </c>
      <c r="D451" s="15" t="str">
        <f>IF(A451="","",INDEX(proveedores[Perfil],MATCH(A451,proveedores[Código],0)))</f>
        <v/>
      </c>
      <c r="E451" s="15" t="str">
        <f>IF(A451="","",IFERROR(INDEX(proveedores[Nivel de criticidad],MATCH(A451,proveedores[Código],0)),""))</f>
        <v/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5">
        <f t="shared" si="18"/>
        <v>100</v>
      </c>
      <c r="V451" s="12" t="str">
        <f t="shared" si="19"/>
        <v>Clase A++</v>
      </c>
    </row>
    <row r="452" spans="1:22" x14ac:dyDescent="0.2">
      <c r="A452" s="13"/>
      <c r="B452" s="14" t="str">
        <f>IF(A452="","",INDEX(proveedores[Proveedor],MATCH(A452,proveedores[Código],0)))</f>
        <v/>
      </c>
      <c r="C452" s="14" t="str">
        <f>IF(A452="","",INDEX(proveedores[Material],MATCH(A452,proveedores[Código],0)))</f>
        <v/>
      </c>
      <c r="D452" s="15" t="str">
        <f>IF(A452="","",INDEX(proveedores[Perfil],MATCH(A452,proveedores[Código],0)))</f>
        <v/>
      </c>
      <c r="E452" s="15" t="str">
        <f>IF(A452="","",IFERROR(INDEX(proveedores[Nivel de criticidad],MATCH(A452,proveedores[Código],0)),""))</f>
        <v/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5">
        <f t="shared" si="18"/>
        <v>100</v>
      </c>
      <c r="V452" s="12" t="str">
        <f t="shared" si="19"/>
        <v>Clase A++</v>
      </c>
    </row>
    <row r="453" spans="1:22" x14ac:dyDescent="0.2">
      <c r="A453" s="13"/>
      <c r="B453" s="14" t="str">
        <f>IF(A453="","",INDEX(proveedores[Proveedor],MATCH(A453,proveedores[Código],0)))</f>
        <v/>
      </c>
      <c r="C453" s="14" t="str">
        <f>IF(A453="","",INDEX(proveedores[Material],MATCH(A453,proveedores[Código],0)))</f>
        <v/>
      </c>
      <c r="D453" s="15" t="str">
        <f>IF(A453="","",INDEX(proveedores[Perfil],MATCH(A453,proveedores[Código],0)))</f>
        <v/>
      </c>
      <c r="E453" s="15" t="str">
        <f>IF(A453="","",IFERROR(INDEX(proveedores[Nivel de criticidad],MATCH(A453,proveedores[Código],0)),""))</f>
        <v/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5">
        <f t="shared" si="18"/>
        <v>100</v>
      </c>
      <c r="V453" s="12" t="str">
        <f t="shared" si="19"/>
        <v>Clase A++</v>
      </c>
    </row>
    <row r="454" spans="1:22" x14ac:dyDescent="0.2">
      <c r="A454" s="13"/>
      <c r="B454" s="14" t="str">
        <f>IF(A454="","",INDEX(proveedores[Proveedor],MATCH(A454,proveedores[Código],0)))</f>
        <v/>
      </c>
      <c r="C454" s="14" t="str">
        <f>IF(A454="","",INDEX(proveedores[Material],MATCH(A454,proveedores[Código],0)))</f>
        <v/>
      </c>
      <c r="D454" s="15" t="str">
        <f>IF(A454="","",INDEX(proveedores[Perfil],MATCH(A454,proveedores[Código],0)))</f>
        <v/>
      </c>
      <c r="E454" s="15" t="str">
        <f>IF(A454="","",IFERROR(INDEX(proveedores[Nivel de criticidad],MATCH(A454,proveedores[Código],0)),""))</f>
        <v/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5">
        <f t="shared" ref="U454:U517" si="20">IF(D454="Internacional", MIN(IF(((F454*10)+(G454*3)+(H454*4)+(I454*5)+(J454*8)+(O454*5)+(P454*2)+IF(L454="N/A",0,(L454*10)+(M454*5)+(N454*3)))&gt;0,98,100), ((MAX(0, 30 - (F454*10) - (G454*3))/30)*45) + ((MAX(0, 25 - (H454*4) - (I454*5) - (J454*8) - (K454*5))/25)*35) + ((MAX(0, 15 - (O454*5) - (P454*2))/15)*20) + (IF(Q454="N/A",0,Q454)*2.5) + (IF(R454="N/A",0,R454)*2.5) + (IF(S454="N/A",0,S454)*2.5) + (IF(T454="N/A",0,T454)*2.5)), IF(D454="Local Insumos", MIN(IF(((F454*10)+(G454*3)+(H454*4)+(I454*5)+(J454*8)+(O454*5)+(P454*2)+IF(L454="N/A",0,(L454*10)+(M454*5)+(N454*3)))&gt;0,98,100), ((MAX(0, 30 - (F454*10) - (G454*3))/30)*35) + ((MAX(0, 25 - (H454*4) - (I454*5) - (J454*8) - (K454*5))/25)*30) + MAX(0, 20 - (L454*10) - (M454*5) - (N454*3)) + MAX(0, 15 - (O454*5) - (P454*2)) + (IF(Q454="N/A",0,Q454)*2.5) + (IF(R454="N/A",0,R454)*2.5) + (IF(S454="N/A",0,S454)*2.5) + (IF(T454="N/A",0,T454)*2.5)), MIN(IF(((F454*10)+(G454*3)+(H454*4)+(I454*5)+(J454*8)+(O454*5)+(P454*2)+IF(L454="N/A",0,(L454*10)+(M454*5)+(N454*3)))&gt;0,98,100), ((MAX(0, 25 - (H454*4) - (I454*5) - (J454*8) - (K454*5))/25)*55) + ((MAX(0, 20 - (L454*10) - (M454*5) - (N454*3))/20)*30) + ((MAX(0, 15 - (O454*5) - (P454*2))/15)*15))))</f>
        <v>100</v>
      </c>
      <c r="V454" s="12" t="str">
        <f t="shared" si="19"/>
        <v>Clase A++</v>
      </c>
    </row>
    <row r="455" spans="1:22" x14ac:dyDescent="0.2">
      <c r="A455" s="13"/>
      <c r="B455" s="14" t="str">
        <f>IF(A455="","",INDEX(proveedores[Proveedor],MATCH(A455,proveedores[Código],0)))</f>
        <v/>
      </c>
      <c r="C455" s="14" t="str">
        <f>IF(A455="","",INDEX(proveedores[Material],MATCH(A455,proveedores[Código],0)))</f>
        <v/>
      </c>
      <c r="D455" s="15" t="str">
        <f>IF(A455="","",INDEX(proveedores[Perfil],MATCH(A455,proveedores[Código],0)))</f>
        <v/>
      </c>
      <c r="E455" s="15" t="str">
        <f>IF(A455="","",IFERROR(INDEX(proveedores[Nivel de criticidad],MATCH(A455,proveedores[Código],0)),""))</f>
        <v/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5">
        <f t="shared" si="20"/>
        <v>100</v>
      </c>
      <c r="V455" s="12" t="str">
        <f t="shared" ref="V455:V518" si="21">IF(U455&gt;=96, "Clase A++", IF(U455&gt;=85, "Clase A", IF(U455&gt;=70, "Clase B", "Clase C")))</f>
        <v>Clase A++</v>
      </c>
    </row>
    <row r="456" spans="1:22" x14ac:dyDescent="0.2">
      <c r="A456" s="13"/>
      <c r="B456" s="14" t="str">
        <f>IF(A456="","",INDEX(proveedores[Proveedor],MATCH(A456,proveedores[Código],0)))</f>
        <v/>
      </c>
      <c r="C456" s="14" t="str">
        <f>IF(A456="","",INDEX(proveedores[Material],MATCH(A456,proveedores[Código],0)))</f>
        <v/>
      </c>
      <c r="D456" s="15" t="str">
        <f>IF(A456="","",INDEX(proveedores[Perfil],MATCH(A456,proveedores[Código],0)))</f>
        <v/>
      </c>
      <c r="E456" s="15" t="str">
        <f>IF(A456="","",IFERROR(INDEX(proveedores[Nivel de criticidad],MATCH(A456,proveedores[Código],0)),""))</f>
        <v/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5">
        <f t="shared" si="20"/>
        <v>100</v>
      </c>
      <c r="V456" s="12" t="str">
        <f t="shared" si="21"/>
        <v>Clase A++</v>
      </c>
    </row>
    <row r="457" spans="1:22" x14ac:dyDescent="0.2">
      <c r="A457" s="13"/>
      <c r="B457" s="14" t="str">
        <f>IF(A457="","",INDEX(proveedores[Proveedor],MATCH(A457,proveedores[Código],0)))</f>
        <v/>
      </c>
      <c r="C457" s="14" t="str">
        <f>IF(A457="","",INDEX(proveedores[Material],MATCH(A457,proveedores[Código],0)))</f>
        <v/>
      </c>
      <c r="D457" s="15" t="str">
        <f>IF(A457="","",INDEX(proveedores[Perfil],MATCH(A457,proveedores[Código],0)))</f>
        <v/>
      </c>
      <c r="E457" s="15" t="str">
        <f>IF(A457="","",IFERROR(INDEX(proveedores[Nivel de criticidad],MATCH(A457,proveedores[Código],0)),""))</f>
        <v/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5">
        <f t="shared" si="20"/>
        <v>100</v>
      </c>
      <c r="V457" s="12" t="str">
        <f t="shared" si="21"/>
        <v>Clase A++</v>
      </c>
    </row>
    <row r="458" spans="1:22" x14ac:dyDescent="0.2">
      <c r="A458" s="13"/>
      <c r="B458" s="14" t="str">
        <f>IF(A458="","",INDEX(proveedores[Proveedor],MATCH(A458,proveedores[Código],0)))</f>
        <v/>
      </c>
      <c r="C458" s="14" t="str">
        <f>IF(A458="","",INDEX(proveedores[Material],MATCH(A458,proveedores[Código],0)))</f>
        <v/>
      </c>
      <c r="D458" s="15" t="str">
        <f>IF(A458="","",INDEX(proveedores[Perfil],MATCH(A458,proveedores[Código],0)))</f>
        <v/>
      </c>
      <c r="E458" s="15" t="str">
        <f>IF(A458="","",IFERROR(INDEX(proveedores[Nivel de criticidad],MATCH(A458,proveedores[Código],0)),""))</f>
        <v/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5">
        <f t="shared" si="20"/>
        <v>100</v>
      </c>
      <c r="V458" s="12" t="str">
        <f t="shared" si="21"/>
        <v>Clase A++</v>
      </c>
    </row>
    <row r="459" spans="1:22" x14ac:dyDescent="0.2">
      <c r="A459" s="13"/>
      <c r="B459" s="14" t="str">
        <f>IF(A459="","",INDEX(proveedores[Proveedor],MATCH(A459,proveedores[Código],0)))</f>
        <v/>
      </c>
      <c r="C459" s="14" t="str">
        <f>IF(A459="","",INDEX(proveedores[Material],MATCH(A459,proveedores[Código],0)))</f>
        <v/>
      </c>
      <c r="D459" s="15" t="str">
        <f>IF(A459="","",INDEX(proveedores[Perfil],MATCH(A459,proveedores[Código],0)))</f>
        <v/>
      </c>
      <c r="E459" s="15" t="str">
        <f>IF(A459="","",IFERROR(INDEX(proveedores[Nivel de criticidad],MATCH(A459,proveedores[Código],0)),""))</f>
        <v/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5">
        <f t="shared" si="20"/>
        <v>100</v>
      </c>
      <c r="V459" s="12" t="str">
        <f t="shared" si="21"/>
        <v>Clase A++</v>
      </c>
    </row>
    <row r="460" spans="1:22" x14ac:dyDescent="0.2">
      <c r="A460" s="13"/>
      <c r="B460" s="14" t="str">
        <f>IF(A460="","",INDEX(proveedores[Proveedor],MATCH(A460,proveedores[Código],0)))</f>
        <v/>
      </c>
      <c r="C460" s="14" t="str">
        <f>IF(A460="","",INDEX(proveedores[Material],MATCH(A460,proveedores[Código],0)))</f>
        <v/>
      </c>
      <c r="D460" s="15" t="str">
        <f>IF(A460="","",INDEX(proveedores[Perfil],MATCH(A460,proveedores[Código],0)))</f>
        <v/>
      </c>
      <c r="E460" s="15" t="str">
        <f>IF(A460="","",IFERROR(INDEX(proveedores[Nivel de criticidad],MATCH(A460,proveedores[Código],0)),""))</f>
        <v/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5">
        <f t="shared" si="20"/>
        <v>100</v>
      </c>
      <c r="V460" s="12" t="str">
        <f t="shared" si="21"/>
        <v>Clase A++</v>
      </c>
    </row>
    <row r="461" spans="1:22" x14ac:dyDescent="0.2">
      <c r="A461" s="13"/>
      <c r="B461" s="14" t="str">
        <f>IF(A461="","",INDEX(proveedores[Proveedor],MATCH(A461,proveedores[Código],0)))</f>
        <v/>
      </c>
      <c r="C461" s="14" t="str">
        <f>IF(A461="","",INDEX(proveedores[Material],MATCH(A461,proveedores[Código],0)))</f>
        <v/>
      </c>
      <c r="D461" s="15" t="str">
        <f>IF(A461="","",INDEX(proveedores[Perfil],MATCH(A461,proveedores[Código],0)))</f>
        <v/>
      </c>
      <c r="E461" s="15" t="str">
        <f>IF(A461="","",IFERROR(INDEX(proveedores[Nivel de criticidad],MATCH(A461,proveedores[Código],0)),""))</f>
        <v/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5">
        <f t="shared" si="20"/>
        <v>100</v>
      </c>
      <c r="V461" s="12" t="str">
        <f t="shared" si="21"/>
        <v>Clase A++</v>
      </c>
    </row>
    <row r="462" spans="1:22" x14ac:dyDescent="0.2">
      <c r="A462" s="13"/>
      <c r="B462" s="14" t="str">
        <f>IF(A462="","",INDEX(proveedores[Proveedor],MATCH(A462,proveedores[Código],0)))</f>
        <v/>
      </c>
      <c r="C462" s="14" t="str">
        <f>IF(A462="","",INDEX(proveedores[Material],MATCH(A462,proveedores[Código],0)))</f>
        <v/>
      </c>
      <c r="D462" s="15" t="str">
        <f>IF(A462="","",INDEX(proveedores[Perfil],MATCH(A462,proveedores[Código],0)))</f>
        <v/>
      </c>
      <c r="E462" s="15" t="str">
        <f>IF(A462="","",IFERROR(INDEX(proveedores[Nivel de criticidad],MATCH(A462,proveedores[Código],0)),""))</f>
        <v/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5">
        <f t="shared" si="20"/>
        <v>100</v>
      </c>
      <c r="V462" s="12" t="str">
        <f t="shared" si="21"/>
        <v>Clase A++</v>
      </c>
    </row>
    <row r="463" spans="1:22" x14ac:dyDescent="0.2">
      <c r="A463" s="13"/>
      <c r="B463" s="14" t="str">
        <f>IF(A463="","",INDEX(proveedores[Proveedor],MATCH(A463,proveedores[Código],0)))</f>
        <v/>
      </c>
      <c r="C463" s="14" t="str">
        <f>IF(A463="","",INDEX(proveedores[Material],MATCH(A463,proveedores[Código],0)))</f>
        <v/>
      </c>
      <c r="D463" s="15" t="str">
        <f>IF(A463="","",INDEX(proveedores[Perfil],MATCH(A463,proveedores[Código],0)))</f>
        <v/>
      </c>
      <c r="E463" s="15" t="str">
        <f>IF(A463="","",IFERROR(INDEX(proveedores[Nivel de criticidad],MATCH(A463,proveedores[Código],0)),""))</f>
        <v/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5">
        <f t="shared" si="20"/>
        <v>100</v>
      </c>
      <c r="V463" s="12" t="str">
        <f t="shared" si="21"/>
        <v>Clase A++</v>
      </c>
    </row>
    <row r="464" spans="1:22" x14ac:dyDescent="0.2">
      <c r="A464" s="13"/>
      <c r="B464" s="14" t="str">
        <f>IF(A464="","",INDEX(proveedores[Proveedor],MATCH(A464,proveedores[Código],0)))</f>
        <v/>
      </c>
      <c r="C464" s="14" t="str">
        <f>IF(A464="","",INDEX(proveedores[Material],MATCH(A464,proveedores[Código],0)))</f>
        <v/>
      </c>
      <c r="D464" s="15" t="str">
        <f>IF(A464="","",INDEX(proveedores[Perfil],MATCH(A464,proveedores[Código],0)))</f>
        <v/>
      </c>
      <c r="E464" s="15" t="str">
        <f>IF(A464="","",IFERROR(INDEX(proveedores[Nivel de criticidad],MATCH(A464,proveedores[Código],0)),""))</f>
        <v/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5">
        <f t="shared" si="20"/>
        <v>100</v>
      </c>
      <c r="V464" s="12" t="str">
        <f t="shared" si="21"/>
        <v>Clase A++</v>
      </c>
    </row>
    <row r="465" spans="1:22" x14ac:dyDescent="0.2">
      <c r="A465" s="13"/>
      <c r="B465" s="14" t="str">
        <f>IF(A465="","",INDEX(proveedores[Proveedor],MATCH(A465,proveedores[Código],0)))</f>
        <v/>
      </c>
      <c r="C465" s="14" t="str">
        <f>IF(A465="","",INDEX(proveedores[Material],MATCH(A465,proveedores[Código],0)))</f>
        <v/>
      </c>
      <c r="D465" s="15" t="str">
        <f>IF(A465="","",INDEX(proveedores[Perfil],MATCH(A465,proveedores[Código],0)))</f>
        <v/>
      </c>
      <c r="E465" s="15" t="str">
        <f>IF(A465="","",IFERROR(INDEX(proveedores[Nivel de criticidad],MATCH(A465,proveedores[Código],0)),""))</f>
        <v/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5">
        <f t="shared" si="20"/>
        <v>100</v>
      </c>
      <c r="V465" s="12" t="str">
        <f t="shared" si="21"/>
        <v>Clase A++</v>
      </c>
    </row>
    <row r="466" spans="1:22" x14ac:dyDescent="0.2">
      <c r="A466" s="13"/>
      <c r="B466" s="14" t="str">
        <f>IF(A466="","",INDEX(proveedores[Proveedor],MATCH(A466,proveedores[Código],0)))</f>
        <v/>
      </c>
      <c r="C466" s="14" t="str">
        <f>IF(A466="","",INDEX(proveedores[Material],MATCH(A466,proveedores[Código],0)))</f>
        <v/>
      </c>
      <c r="D466" s="15" t="str">
        <f>IF(A466="","",INDEX(proveedores[Perfil],MATCH(A466,proveedores[Código],0)))</f>
        <v/>
      </c>
      <c r="E466" s="15" t="str">
        <f>IF(A466="","",IFERROR(INDEX(proveedores[Nivel de criticidad],MATCH(A466,proveedores[Código],0)),""))</f>
        <v/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5">
        <f t="shared" si="20"/>
        <v>100</v>
      </c>
      <c r="V466" s="12" t="str">
        <f t="shared" si="21"/>
        <v>Clase A++</v>
      </c>
    </row>
    <row r="467" spans="1:22" x14ac:dyDescent="0.2">
      <c r="A467" s="13"/>
      <c r="B467" s="14" t="str">
        <f>IF(A467="","",INDEX(proveedores[Proveedor],MATCH(A467,proveedores[Código],0)))</f>
        <v/>
      </c>
      <c r="C467" s="14" t="str">
        <f>IF(A467="","",INDEX(proveedores[Material],MATCH(A467,proveedores[Código],0)))</f>
        <v/>
      </c>
      <c r="D467" s="15" t="str">
        <f>IF(A467="","",INDEX(proveedores[Perfil],MATCH(A467,proveedores[Código],0)))</f>
        <v/>
      </c>
      <c r="E467" s="15" t="str">
        <f>IF(A467="","",IFERROR(INDEX(proveedores[Nivel de criticidad],MATCH(A467,proveedores[Código],0)),""))</f>
        <v/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5">
        <f t="shared" si="20"/>
        <v>100</v>
      </c>
      <c r="V467" s="12" t="str">
        <f t="shared" si="21"/>
        <v>Clase A++</v>
      </c>
    </row>
    <row r="468" spans="1:22" x14ac:dyDescent="0.2">
      <c r="A468" s="13"/>
      <c r="B468" s="14" t="str">
        <f>IF(A468="","",INDEX(proveedores[Proveedor],MATCH(A468,proveedores[Código],0)))</f>
        <v/>
      </c>
      <c r="C468" s="14" t="str">
        <f>IF(A468="","",INDEX(proveedores[Material],MATCH(A468,proveedores[Código],0)))</f>
        <v/>
      </c>
      <c r="D468" s="15" t="str">
        <f>IF(A468="","",INDEX(proveedores[Perfil],MATCH(A468,proveedores[Código],0)))</f>
        <v/>
      </c>
      <c r="E468" s="15" t="str">
        <f>IF(A468="","",IFERROR(INDEX(proveedores[Nivel de criticidad],MATCH(A468,proveedores[Código],0)),""))</f>
        <v/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5">
        <f t="shared" si="20"/>
        <v>100</v>
      </c>
      <c r="V468" s="12" t="str">
        <f t="shared" si="21"/>
        <v>Clase A++</v>
      </c>
    </row>
    <row r="469" spans="1:22" x14ac:dyDescent="0.2">
      <c r="A469" s="13"/>
      <c r="B469" s="14" t="str">
        <f>IF(A469="","",INDEX(proveedores[Proveedor],MATCH(A469,proveedores[Código],0)))</f>
        <v/>
      </c>
      <c r="C469" s="14" t="str">
        <f>IF(A469="","",INDEX(proveedores[Material],MATCH(A469,proveedores[Código],0)))</f>
        <v/>
      </c>
      <c r="D469" s="15" t="str">
        <f>IF(A469="","",INDEX(proveedores[Perfil],MATCH(A469,proveedores[Código],0)))</f>
        <v/>
      </c>
      <c r="E469" s="15" t="str">
        <f>IF(A469="","",IFERROR(INDEX(proveedores[Nivel de criticidad],MATCH(A469,proveedores[Código],0)),""))</f>
        <v/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5">
        <f t="shared" si="20"/>
        <v>100</v>
      </c>
      <c r="V469" s="12" t="str">
        <f t="shared" si="21"/>
        <v>Clase A++</v>
      </c>
    </row>
    <row r="470" spans="1:22" x14ac:dyDescent="0.2">
      <c r="A470" s="13"/>
      <c r="B470" s="14" t="str">
        <f>IF(A470="","",INDEX(proveedores[Proveedor],MATCH(A470,proveedores[Código],0)))</f>
        <v/>
      </c>
      <c r="C470" s="14" t="str">
        <f>IF(A470="","",INDEX(proveedores[Material],MATCH(A470,proveedores[Código],0)))</f>
        <v/>
      </c>
      <c r="D470" s="15" t="str">
        <f>IF(A470="","",INDEX(proveedores[Perfil],MATCH(A470,proveedores[Código],0)))</f>
        <v/>
      </c>
      <c r="E470" s="15" t="str">
        <f>IF(A470="","",IFERROR(INDEX(proveedores[Nivel de criticidad],MATCH(A470,proveedores[Código],0)),""))</f>
        <v/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5">
        <f t="shared" si="20"/>
        <v>100</v>
      </c>
      <c r="V470" s="12" t="str">
        <f t="shared" si="21"/>
        <v>Clase A++</v>
      </c>
    </row>
    <row r="471" spans="1:22" x14ac:dyDescent="0.2">
      <c r="A471" s="13"/>
      <c r="B471" s="14" t="str">
        <f>IF(A471="","",INDEX(proveedores[Proveedor],MATCH(A471,proveedores[Código],0)))</f>
        <v/>
      </c>
      <c r="C471" s="14" t="str">
        <f>IF(A471="","",INDEX(proveedores[Material],MATCH(A471,proveedores[Código],0)))</f>
        <v/>
      </c>
      <c r="D471" s="15" t="str">
        <f>IF(A471="","",INDEX(proveedores[Perfil],MATCH(A471,proveedores[Código],0)))</f>
        <v/>
      </c>
      <c r="E471" s="15" t="str">
        <f>IF(A471="","",IFERROR(INDEX(proveedores[Nivel de criticidad],MATCH(A471,proveedores[Código],0)),""))</f>
        <v/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5">
        <f t="shared" si="20"/>
        <v>100</v>
      </c>
      <c r="V471" s="12" t="str">
        <f t="shared" si="21"/>
        <v>Clase A++</v>
      </c>
    </row>
    <row r="472" spans="1:22" x14ac:dyDescent="0.2">
      <c r="A472" s="13"/>
      <c r="B472" s="14" t="str">
        <f>IF(A472="","",INDEX(proveedores[Proveedor],MATCH(A472,proveedores[Código],0)))</f>
        <v/>
      </c>
      <c r="C472" s="14" t="str">
        <f>IF(A472="","",INDEX(proveedores[Material],MATCH(A472,proveedores[Código],0)))</f>
        <v/>
      </c>
      <c r="D472" s="15" t="str">
        <f>IF(A472="","",INDEX(proveedores[Perfil],MATCH(A472,proveedores[Código],0)))</f>
        <v/>
      </c>
      <c r="E472" s="15" t="str">
        <f>IF(A472="","",IFERROR(INDEX(proveedores[Nivel de criticidad],MATCH(A472,proveedores[Código],0)),""))</f>
        <v/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5">
        <f t="shared" si="20"/>
        <v>100</v>
      </c>
      <c r="V472" s="12" t="str">
        <f t="shared" si="21"/>
        <v>Clase A++</v>
      </c>
    </row>
    <row r="473" spans="1:22" x14ac:dyDescent="0.2">
      <c r="A473" s="13"/>
      <c r="B473" s="14" t="str">
        <f>IF(A473="","",INDEX(proveedores[Proveedor],MATCH(A473,proveedores[Código],0)))</f>
        <v/>
      </c>
      <c r="C473" s="14" t="str">
        <f>IF(A473="","",INDEX(proveedores[Material],MATCH(A473,proveedores[Código],0)))</f>
        <v/>
      </c>
      <c r="D473" s="15" t="str">
        <f>IF(A473="","",INDEX(proveedores[Perfil],MATCH(A473,proveedores[Código],0)))</f>
        <v/>
      </c>
      <c r="E473" s="15" t="str">
        <f>IF(A473="","",IFERROR(INDEX(proveedores[Nivel de criticidad],MATCH(A473,proveedores[Código],0)),""))</f>
        <v/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5">
        <f t="shared" si="20"/>
        <v>100</v>
      </c>
      <c r="V473" s="12" t="str">
        <f t="shared" si="21"/>
        <v>Clase A++</v>
      </c>
    </row>
    <row r="474" spans="1:22" x14ac:dyDescent="0.2">
      <c r="A474" s="13"/>
      <c r="B474" s="14" t="str">
        <f>IF(A474="","",INDEX(proveedores[Proveedor],MATCH(A474,proveedores[Código],0)))</f>
        <v/>
      </c>
      <c r="C474" s="14" t="str">
        <f>IF(A474="","",INDEX(proveedores[Material],MATCH(A474,proveedores[Código],0)))</f>
        <v/>
      </c>
      <c r="D474" s="15" t="str">
        <f>IF(A474="","",INDEX(proveedores[Perfil],MATCH(A474,proveedores[Código],0)))</f>
        <v/>
      </c>
      <c r="E474" s="15" t="str">
        <f>IF(A474="","",IFERROR(INDEX(proveedores[Nivel de criticidad],MATCH(A474,proveedores[Código],0)),""))</f>
        <v/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5">
        <f t="shared" si="20"/>
        <v>100</v>
      </c>
      <c r="V474" s="12" t="str">
        <f t="shared" si="21"/>
        <v>Clase A++</v>
      </c>
    </row>
    <row r="475" spans="1:22" x14ac:dyDescent="0.2">
      <c r="A475" s="13"/>
      <c r="B475" s="14" t="str">
        <f>IF(A475="","",INDEX(proveedores[Proveedor],MATCH(A475,proveedores[Código],0)))</f>
        <v/>
      </c>
      <c r="C475" s="14" t="str">
        <f>IF(A475="","",INDEX(proveedores[Material],MATCH(A475,proveedores[Código],0)))</f>
        <v/>
      </c>
      <c r="D475" s="15" t="str">
        <f>IF(A475="","",INDEX(proveedores[Perfil],MATCH(A475,proveedores[Código],0)))</f>
        <v/>
      </c>
      <c r="E475" s="15" t="str">
        <f>IF(A475="","",IFERROR(INDEX(proveedores[Nivel de criticidad],MATCH(A475,proveedores[Código],0)),""))</f>
        <v/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5">
        <f t="shared" si="20"/>
        <v>100</v>
      </c>
      <c r="V475" s="12" t="str">
        <f t="shared" si="21"/>
        <v>Clase A++</v>
      </c>
    </row>
    <row r="476" spans="1:22" x14ac:dyDescent="0.2">
      <c r="A476" s="13"/>
      <c r="B476" s="14" t="str">
        <f>IF(A476="","",INDEX(proveedores[Proveedor],MATCH(A476,proveedores[Código],0)))</f>
        <v/>
      </c>
      <c r="C476" s="14" t="str">
        <f>IF(A476="","",INDEX(proveedores[Material],MATCH(A476,proveedores[Código],0)))</f>
        <v/>
      </c>
      <c r="D476" s="15" t="str">
        <f>IF(A476="","",INDEX(proveedores[Perfil],MATCH(A476,proveedores[Código],0)))</f>
        <v/>
      </c>
      <c r="E476" s="15" t="str">
        <f>IF(A476="","",IFERROR(INDEX(proveedores[Nivel de criticidad],MATCH(A476,proveedores[Código],0)),""))</f>
        <v/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5">
        <f t="shared" si="20"/>
        <v>100</v>
      </c>
      <c r="V476" s="12" t="str">
        <f t="shared" si="21"/>
        <v>Clase A++</v>
      </c>
    </row>
    <row r="477" spans="1:22" x14ac:dyDescent="0.2">
      <c r="A477" s="13"/>
      <c r="B477" s="14" t="str">
        <f>IF(A477="","",INDEX(proveedores[Proveedor],MATCH(A477,proveedores[Código],0)))</f>
        <v/>
      </c>
      <c r="C477" s="14" t="str">
        <f>IF(A477="","",INDEX(proveedores[Material],MATCH(A477,proveedores[Código],0)))</f>
        <v/>
      </c>
      <c r="D477" s="15" t="str">
        <f>IF(A477="","",INDEX(proveedores[Perfil],MATCH(A477,proveedores[Código],0)))</f>
        <v/>
      </c>
      <c r="E477" s="15" t="str">
        <f>IF(A477="","",IFERROR(INDEX(proveedores[Nivel de criticidad],MATCH(A477,proveedores[Código],0)),""))</f>
        <v/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5">
        <f t="shared" si="20"/>
        <v>100</v>
      </c>
      <c r="V477" s="12" t="str">
        <f t="shared" si="21"/>
        <v>Clase A++</v>
      </c>
    </row>
    <row r="478" spans="1:22" x14ac:dyDescent="0.2">
      <c r="A478" s="13"/>
      <c r="B478" s="14" t="str">
        <f>IF(A478="","",INDEX(proveedores[Proveedor],MATCH(A478,proveedores[Código],0)))</f>
        <v/>
      </c>
      <c r="C478" s="14" t="str">
        <f>IF(A478="","",INDEX(proveedores[Material],MATCH(A478,proveedores[Código],0)))</f>
        <v/>
      </c>
      <c r="D478" s="15" t="str">
        <f>IF(A478="","",INDEX(proveedores[Perfil],MATCH(A478,proveedores[Código],0)))</f>
        <v/>
      </c>
      <c r="E478" s="15" t="str">
        <f>IF(A478="","",IFERROR(INDEX(proveedores[Nivel de criticidad],MATCH(A478,proveedores[Código],0)),""))</f>
        <v/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5">
        <f t="shared" si="20"/>
        <v>100</v>
      </c>
      <c r="V478" s="12" t="str">
        <f t="shared" si="21"/>
        <v>Clase A++</v>
      </c>
    </row>
    <row r="479" spans="1:22" x14ac:dyDescent="0.2">
      <c r="A479" s="13"/>
      <c r="B479" s="14" t="str">
        <f>IF(A479="","",INDEX(proveedores[Proveedor],MATCH(A479,proveedores[Código],0)))</f>
        <v/>
      </c>
      <c r="C479" s="14" t="str">
        <f>IF(A479="","",INDEX(proveedores[Material],MATCH(A479,proveedores[Código],0)))</f>
        <v/>
      </c>
      <c r="D479" s="15" t="str">
        <f>IF(A479="","",INDEX(proveedores[Perfil],MATCH(A479,proveedores[Código],0)))</f>
        <v/>
      </c>
      <c r="E479" s="15" t="str">
        <f>IF(A479="","",IFERROR(INDEX(proveedores[Nivel de criticidad],MATCH(A479,proveedores[Código],0)),""))</f>
        <v/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5">
        <f t="shared" si="20"/>
        <v>100</v>
      </c>
      <c r="V479" s="12" t="str">
        <f t="shared" si="21"/>
        <v>Clase A++</v>
      </c>
    </row>
    <row r="480" spans="1:22" x14ac:dyDescent="0.2">
      <c r="A480" s="13"/>
      <c r="B480" s="14" t="str">
        <f>IF(A480="","",INDEX(proveedores[Proveedor],MATCH(A480,proveedores[Código],0)))</f>
        <v/>
      </c>
      <c r="C480" s="14" t="str">
        <f>IF(A480="","",INDEX(proveedores[Material],MATCH(A480,proveedores[Código],0)))</f>
        <v/>
      </c>
      <c r="D480" s="15" t="str">
        <f>IF(A480="","",INDEX(proveedores[Perfil],MATCH(A480,proveedores[Código],0)))</f>
        <v/>
      </c>
      <c r="E480" s="15" t="str">
        <f>IF(A480="","",IFERROR(INDEX(proveedores[Nivel de criticidad],MATCH(A480,proveedores[Código],0)),""))</f>
        <v/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5">
        <f t="shared" si="20"/>
        <v>100</v>
      </c>
      <c r="V480" s="12" t="str">
        <f t="shared" si="21"/>
        <v>Clase A++</v>
      </c>
    </row>
    <row r="481" spans="1:22" x14ac:dyDescent="0.2">
      <c r="A481" s="13"/>
      <c r="B481" s="14" t="str">
        <f>IF(A481="","",INDEX(proveedores[Proveedor],MATCH(A481,proveedores[Código],0)))</f>
        <v/>
      </c>
      <c r="C481" s="14" t="str">
        <f>IF(A481="","",INDEX(proveedores[Material],MATCH(A481,proveedores[Código],0)))</f>
        <v/>
      </c>
      <c r="D481" s="15" t="str">
        <f>IF(A481="","",INDEX(proveedores[Perfil],MATCH(A481,proveedores[Código],0)))</f>
        <v/>
      </c>
      <c r="E481" s="15" t="str">
        <f>IF(A481="","",IFERROR(INDEX(proveedores[Nivel de criticidad],MATCH(A481,proveedores[Código],0)),""))</f>
        <v/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5">
        <f t="shared" si="20"/>
        <v>100</v>
      </c>
      <c r="V481" s="12" t="str">
        <f t="shared" si="21"/>
        <v>Clase A++</v>
      </c>
    </row>
    <row r="482" spans="1:22" x14ac:dyDescent="0.2">
      <c r="A482" s="13"/>
      <c r="B482" s="14" t="str">
        <f>IF(A482="","",INDEX(proveedores[Proveedor],MATCH(A482,proveedores[Código],0)))</f>
        <v/>
      </c>
      <c r="C482" s="14" t="str">
        <f>IF(A482="","",INDEX(proveedores[Material],MATCH(A482,proveedores[Código],0)))</f>
        <v/>
      </c>
      <c r="D482" s="15" t="str">
        <f>IF(A482="","",INDEX(proveedores[Perfil],MATCH(A482,proveedores[Código],0)))</f>
        <v/>
      </c>
      <c r="E482" s="15" t="str">
        <f>IF(A482="","",IFERROR(INDEX(proveedores[Nivel de criticidad],MATCH(A482,proveedores[Código],0)),""))</f>
        <v/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5">
        <f t="shared" si="20"/>
        <v>100</v>
      </c>
      <c r="V482" s="12" t="str">
        <f t="shared" si="21"/>
        <v>Clase A++</v>
      </c>
    </row>
    <row r="483" spans="1:22" x14ac:dyDescent="0.2">
      <c r="A483" s="13"/>
      <c r="B483" s="14" t="str">
        <f>IF(A483="","",INDEX(proveedores[Proveedor],MATCH(A483,proveedores[Código],0)))</f>
        <v/>
      </c>
      <c r="C483" s="14" t="str">
        <f>IF(A483="","",INDEX(proveedores[Material],MATCH(A483,proveedores[Código],0)))</f>
        <v/>
      </c>
      <c r="D483" s="15" t="str">
        <f>IF(A483="","",INDEX(proveedores[Perfil],MATCH(A483,proveedores[Código],0)))</f>
        <v/>
      </c>
      <c r="E483" s="15" t="str">
        <f>IF(A483="","",IFERROR(INDEX(proveedores[Nivel de criticidad],MATCH(A483,proveedores[Código],0)),""))</f>
        <v/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5">
        <f t="shared" si="20"/>
        <v>100</v>
      </c>
      <c r="V483" s="12" t="str">
        <f t="shared" si="21"/>
        <v>Clase A++</v>
      </c>
    </row>
    <row r="484" spans="1:22" x14ac:dyDescent="0.2">
      <c r="A484" s="13"/>
      <c r="B484" s="14" t="str">
        <f>IF(A484="","",INDEX(proveedores[Proveedor],MATCH(A484,proveedores[Código],0)))</f>
        <v/>
      </c>
      <c r="C484" s="14" t="str">
        <f>IF(A484="","",INDEX(proveedores[Material],MATCH(A484,proveedores[Código],0)))</f>
        <v/>
      </c>
      <c r="D484" s="15" t="str">
        <f>IF(A484="","",INDEX(proveedores[Perfil],MATCH(A484,proveedores[Código],0)))</f>
        <v/>
      </c>
      <c r="E484" s="15" t="str">
        <f>IF(A484="","",IFERROR(INDEX(proveedores[Nivel de criticidad],MATCH(A484,proveedores[Código],0)),""))</f>
        <v/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5">
        <f t="shared" si="20"/>
        <v>100</v>
      </c>
      <c r="V484" s="12" t="str">
        <f t="shared" si="21"/>
        <v>Clase A++</v>
      </c>
    </row>
    <row r="485" spans="1:22" x14ac:dyDescent="0.2">
      <c r="A485" s="13"/>
      <c r="B485" s="14" t="str">
        <f>IF(A485="","",INDEX(proveedores[Proveedor],MATCH(A485,proveedores[Código],0)))</f>
        <v/>
      </c>
      <c r="C485" s="14" t="str">
        <f>IF(A485="","",INDEX(proveedores[Material],MATCH(A485,proveedores[Código],0)))</f>
        <v/>
      </c>
      <c r="D485" s="15" t="str">
        <f>IF(A485="","",INDEX(proveedores[Perfil],MATCH(A485,proveedores[Código],0)))</f>
        <v/>
      </c>
      <c r="E485" s="15" t="str">
        <f>IF(A485="","",IFERROR(INDEX(proveedores[Nivel de criticidad],MATCH(A485,proveedores[Código],0)),""))</f>
        <v/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5">
        <f t="shared" si="20"/>
        <v>100</v>
      </c>
      <c r="V485" s="12" t="str">
        <f t="shared" si="21"/>
        <v>Clase A++</v>
      </c>
    </row>
    <row r="486" spans="1:22" x14ac:dyDescent="0.2">
      <c r="A486" s="13"/>
      <c r="B486" s="14" t="str">
        <f>IF(A486="","",INDEX(proveedores[Proveedor],MATCH(A486,proveedores[Código],0)))</f>
        <v/>
      </c>
      <c r="C486" s="14" t="str">
        <f>IF(A486="","",INDEX(proveedores[Material],MATCH(A486,proveedores[Código],0)))</f>
        <v/>
      </c>
      <c r="D486" s="15" t="str">
        <f>IF(A486="","",INDEX(proveedores[Perfil],MATCH(A486,proveedores[Código],0)))</f>
        <v/>
      </c>
      <c r="E486" s="15" t="str">
        <f>IF(A486="","",IFERROR(INDEX(proveedores[Nivel de criticidad],MATCH(A486,proveedores[Código],0)),""))</f>
        <v/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5">
        <f t="shared" si="20"/>
        <v>100</v>
      </c>
      <c r="V486" s="12" t="str">
        <f t="shared" si="21"/>
        <v>Clase A++</v>
      </c>
    </row>
    <row r="487" spans="1:22" x14ac:dyDescent="0.2">
      <c r="A487" s="13"/>
      <c r="B487" s="14" t="str">
        <f>IF(A487="","",INDEX(proveedores[Proveedor],MATCH(A487,proveedores[Código],0)))</f>
        <v/>
      </c>
      <c r="C487" s="14" t="str">
        <f>IF(A487="","",INDEX(proveedores[Material],MATCH(A487,proveedores[Código],0)))</f>
        <v/>
      </c>
      <c r="D487" s="15" t="str">
        <f>IF(A487="","",INDEX(proveedores[Perfil],MATCH(A487,proveedores[Código],0)))</f>
        <v/>
      </c>
      <c r="E487" s="15" t="str">
        <f>IF(A487="","",IFERROR(INDEX(proveedores[Nivel de criticidad],MATCH(A487,proveedores[Código],0)),""))</f>
        <v/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5">
        <f t="shared" si="20"/>
        <v>100</v>
      </c>
      <c r="V487" s="12" t="str">
        <f t="shared" si="21"/>
        <v>Clase A++</v>
      </c>
    </row>
    <row r="488" spans="1:22" x14ac:dyDescent="0.2">
      <c r="A488" s="13"/>
      <c r="B488" s="14" t="str">
        <f>IF(A488="","",INDEX(proveedores[Proveedor],MATCH(A488,proveedores[Código],0)))</f>
        <v/>
      </c>
      <c r="C488" s="14" t="str">
        <f>IF(A488="","",INDEX(proveedores[Material],MATCH(A488,proveedores[Código],0)))</f>
        <v/>
      </c>
      <c r="D488" s="15" t="str">
        <f>IF(A488="","",INDEX(proveedores[Perfil],MATCH(A488,proveedores[Código],0)))</f>
        <v/>
      </c>
      <c r="E488" s="15" t="str">
        <f>IF(A488="","",IFERROR(INDEX(proveedores[Nivel de criticidad],MATCH(A488,proveedores[Código],0)),""))</f>
        <v/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5">
        <f t="shared" si="20"/>
        <v>100</v>
      </c>
      <c r="V488" s="12" t="str">
        <f t="shared" si="21"/>
        <v>Clase A++</v>
      </c>
    </row>
    <row r="489" spans="1:22" x14ac:dyDescent="0.2">
      <c r="A489" s="13"/>
      <c r="B489" s="14" t="str">
        <f>IF(A489="","",INDEX(proveedores[Proveedor],MATCH(A489,proveedores[Código],0)))</f>
        <v/>
      </c>
      <c r="C489" s="14" t="str">
        <f>IF(A489="","",INDEX(proveedores[Material],MATCH(A489,proveedores[Código],0)))</f>
        <v/>
      </c>
      <c r="D489" s="15" t="str">
        <f>IF(A489="","",INDEX(proveedores[Perfil],MATCH(A489,proveedores[Código],0)))</f>
        <v/>
      </c>
      <c r="E489" s="15" t="str">
        <f>IF(A489="","",IFERROR(INDEX(proveedores[Nivel de criticidad],MATCH(A489,proveedores[Código],0)),""))</f>
        <v/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5">
        <f t="shared" si="20"/>
        <v>100</v>
      </c>
      <c r="V489" s="12" t="str">
        <f t="shared" si="21"/>
        <v>Clase A++</v>
      </c>
    </row>
    <row r="490" spans="1:22" x14ac:dyDescent="0.2">
      <c r="A490" s="13"/>
      <c r="B490" s="14" t="str">
        <f>IF(A490="","",INDEX(proveedores[Proveedor],MATCH(A490,proveedores[Código],0)))</f>
        <v/>
      </c>
      <c r="C490" s="14" t="str">
        <f>IF(A490="","",INDEX(proveedores[Material],MATCH(A490,proveedores[Código],0)))</f>
        <v/>
      </c>
      <c r="D490" s="15" t="str">
        <f>IF(A490="","",INDEX(proveedores[Perfil],MATCH(A490,proveedores[Código],0)))</f>
        <v/>
      </c>
      <c r="E490" s="15" t="str">
        <f>IF(A490="","",IFERROR(INDEX(proveedores[Nivel de criticidad],MATCH(A490,proveedores[Código],0)),""))</f>
        <v/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5">
        <f t="shared" si="20"/>
        <v>100</v>
      </c>
      <c r="V490" s="12" t="str">
        <f t="shared" si="21"/>
        <v>Clase A++</v>
      </c>
    </row>
    <row r="491" spans="1:22" x14ac:dyDescent="0.2">
      <c r="A491" s="13"/>
      <c r="B491" s="14" t="str">
        <f>IF(A491="","",INDEX(proveedores[Proveedor],MATCH(A491,proveedores[Código],0)))</f>
        <v/>
      </c>
      <c r="C491" s="14" t="str">
        <f>IF(A491="","",INDEX(proveedores[Material],MATCH(A491,proveedores[Código],0)))</f>
        <v/>
      </c>
      <c r="D491" s="15" t="str">
        <f>IF(A491="","",INDEX(proveedores[Perfil],MATCH(A491,proveedores[Código],0)))</f>
        <v/>
      </c>
      <c r="E491" s="15" t="str">
        <f>IF(A491="","",IFERROR(INDEX(proveedores[Nivel de criticidad],MATCH(A491,proveedores[Código],0)),""))</f>
        <v/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5">
        <f t="shared" si="20"/>
        <v>100</v>
      </c>
      <c r="V491" s="12" t="str">
        <f t="shared" si="21"/>
        <v>Clase A++</v>
      </c>
    </row>
    <row r="492" spans="1:22" x14ac:dyDescent="0.2">
      <c r="A492" s="13"/>
      <c r="B492" s="14" t="str">
        <f>IF(A492="","",INDEX(proveedores[Proveedor],MATCH(A492,proveedores[Código],0)))</f>
        <v/>
      </c>
      <c r="C492" s="14" t="str">
        <f>IF(A492="","",INDEX(proveedores[Material],MATCH(A492,proveedores[Código],0)))</f>
        <v/>
      </c>
      <c r="D492" s="15" t="str">
        <f>IF(A492="","",INDEX(proveedores[Perfil],MATCH(A492,proveedores[Código],0)))</f>
        <v/>
      </c>
      <c r="E492" s="15" t="str">
        <f>IF(A492="","",IFERROR(INDEX(proveedores[Nivel de criticidad],MATCH(A492,proveedores[Código],0)),""))</f>
        <v/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5">
        <f t="shared" si="20"/>
        <v>100</v>
      </c>
      <c r="V492" s="12" t="str">
        <f t="shared" si="21"/>
        <v>Clase A++</v>
      </c>
    </row>
    <row r="493" spans="1:22" x14ac:dyDescent="0.2">
      <c r="A493" s="13"/>
      <c r="B493" s="14" t="str">
        <f>IF(A493="","",INDEX(proveedores[Proveedor],MATCH(A493,proveedores[Código],0)))</f>
        <v/>
      </c>
      <c r="C493" s="14" t="str">
        <f>IF(A493="","",INDEX(proveedores[Material],MATCH(A493,proveedores[Código],0)))</f>
        <v/>
      </c>
      <c r="D493" s="15" t="str">
        <f>IF(A493="","",INDEX(proveedores[Perfil],MATCH(A493,proveedores[Código],0)))</f>
        <v/>
      </c>
      <c r="E493" s="15" t="str">
        <f>IF(A493="","",IFERROR(INDEX(proveedores[Nivel de criticidad],MATCH(A493,proveedores[Código],0)),""))</f>
        <v/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5">
        <f t="shared" si="20"/>
        <v>100</v>
      </c>
      <c r="V493" s="12" t="str">
        <f t="shared" si="21"/>
        <v>Clase A++</v>
      </c>
    </row>
    <row r="494" spans="1:22" x14ac:dyDescent="0.2">
      <c r="A494" s="13"/>
      <c r="B494" s="14" t="str">
        <f>IF(A494="","",INDEX(proveedores[Proveedor],MATCH(A494,proveedores[Código],0)))</f>
        <v/>
      </c>
      <c r="C494" s="14" t="str">
        <f>IF(A494="","",INDEX(proveedores[Material],MATCH(A494,proveedores[Código],0)))</f>
        <v/>
      </c>
      <c r="D494" s="15" t="str">
        <f>IF(A494="","",INDEX(proveedores[Perfil],MATCH(A494,proveedores[Código],0)))</f>
        <v/>
      </c>
      <c r="E494" s="15" t="str">
        <f>IF(A494="","",IFERROR(INDEX(proveedores[Nivel de criticidad],MATCH(A494,proveedores[Código],0)),""))</f>
        <v/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5">
        <f t="shared" si="20"/>
        <v>100</v>
      </c>
      <c r="V494" s="12" t="str">
        <f t="shared" si="21"/>
        <v>Clase A++</v>
      </c>
    </row>
    <row r="495" spans="1:22" x14ac:dyDescent="0.2">
      <c r="A495" s="13"/>
      <c r="B495" s="14" t="str">
        <f>IF(A495="","",INDEX(proveedores[Proveedor],MATCH(A495,proveedores[Código],0)))</f>
        <v/>
      </c>
      <c r="C495" s="14" t="str">
        <f>IF(A495="","",INDEX(proveedores[Material],MATCH(A495,proveedores[Código],0)))</f>
        <v/>
      </c>
      <c r="D495" s="15" t="str">
        <f>IF(A495="","",INDEX(proveedores[Perfil],MATCH(A495,proveedores[Código],0)))</f>
        <v/>
      </c>
      <c r="E495" s="15" t="str">
        <f>IF(A495="","",IFERROR(INDEX(proveedores[Nivel de criticidad],MATCH(A495,proveedores[Código],0)),""))</f>
        <v/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5">
        <f t="shared" si="20"/>
        <v>100</v>
      </c>
      <c r="V495" s="12" t="str">
        <f t="shared" si="21"/>
        <v>Clase A++</v>
      </c>
    </row>
    <row r="496" spans="1:22" x14ac:dyDescent="0.2">
      <c r="A496" s="13"/>
      <c r="B496" s="14" t="str">
        <f>IF(A496="","",INDEX(proveedores[Proveedor],MATCH(A496,proveedores[Código],0)))</f>
        <v/>
      </c>
      <c r="C496" s="14" t="str">
        <f>IF(A496="","",INDEX(proveedores[Material],MATCH(A496,proveedores[Código],0)))</f>
        <v/>
      </c>
      <c r="D496" s="15" t="str">
        <f>IF(A496="","",INDEX(proveedores[Perfil],MATCH(A496,proveedores[Código],0)))</f>
        <v/>
      </c>
      <c r="E496" s="15" t="str">
        <f>IF(A496="","",IFERROR(INDEX(proveedores[Nivel de criticidad],MATCH(A496,proveedores[Código],0)),""))</f>
        <v/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5">
        <f t="shared" si="20"/>
        <v>100</v>
      </c>
      <c r="V496" s="12" t="str">
        <f t="shared" si="21"/>
        <v>Clase A++</v>
      </c>
    </row>
    <row r="497" spans="1:22" x14ac:dyDescent="0.2">
      <c r="A497" s="13"/>
      <c r="B497" s="14" t="str">
        <f>IF(A497="","",INDEX(proveedores[Proveedor],MATCH(A497,proveedores[Código],0)))</f>
        <v/>
      </c>
      <c r="C497" s="14" t="str">
        <f>IF(A497="","",INDEX(proveedores[Material],MATCH(A497,proveedores[Código],0)))</f>
        <v/>
      </c>
      <c r="D497" s="15" t="str">
        <f>IF(A497="","",INDEX(proveedores[Perfil],MATCH(A497,proveedores[Código],0)))</f>
        <v/>
      </c>
      <c r="E497" s="15" t="str">
        <f>IF(A497="","",IFERROR(INDEX(proveedores[Nivel de criticidad],MATCH(A497,proveedores[Código],0)),""))</f>
        <v/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5">
        <f t="shared" si="20"/>
        <v>100</v>
      </c>
      <c r="V497" s="12" t="str">
        <f t="shared" si="21"/>
        <v>Clase A++</v>
      </c>
    </row>
    <row r="498" spans="1:22" x14ac:dyDescent="0.2">
      <c r="A498" s="13"/>
      <c r="B498" s="14" t="str">
        <f>IF(A498="","",INDEX(proveedores[Proveedor],MATCH(A498,proveedores[Código],0)))</f>
        <v/>
      </c>
      <c r="C498" s="14" t="str">
        <f>IF(A498="","",INDEX(proveedores[Material],MATCH(A498,proveedores[Código],0)))</f>
        <v/>
      </c>
      <c r="D498" s="15" t="str">
        <f>IF(A498="","",INDEX(proveedores[Perfil],MATCH(A498,proveedores[Código],0)))</f>
        <v/>
      </c>
      <c r="E498" s="15" t="str">
        <f>IF(A498="","",IFERROR(INDEX(proveedores[Nivel de criticidad],MATCH(A498,proveedores[Código],0)),""))</f>
        <v/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5">
        <f t="shared" si="20"/>
        <v>100</v>
      </c>
      <c r="V498" s="12" t="str">
        <f t="shared" si="21"/>
        <v>Clase A++</v>
      </c>
    </row>
    <row r="499" spans="1:22" x14ac:dyDescent="0.2">
      <c r="A499" s="13"/>
      <c r="B499" s="14" t="str">
        <f>IF(A499="","",INDEX(proveedores[Proveedor],MATCH(A499,proveedores[Código],0)))</f>
        <v/>
      </c>
      <c r="C499" s="14" t="str">
        <f>IF(A499="","",INDEX(proveedores[Material],MATCH(A499,proveedores[Código],0)))</f>
        <v/>
      </c>
      <c r="D499" s="15" t="str">
        <f>IF(A499="","",INDEX(proveedores[Perfil],MATCH(A499,proveedores[Código],0)))</f>
        <v/>
      </c>
      <c r="E499" s="15" t="str">
        <f>IF(A499="","",IFERROR(INDEX(proveedores[Nivel de criticidad],MATCH(A499,proveedores[Código],0)),""))</f>
        <v/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5">
        <f t="shared" si="20"/>
        <v>100</v>
      </c>
      <c r="V499" s="12" t="str">
        <f t="shared" si="21"/>
        <v>Clase A++</v>
      </c>
    </row>
    <row r="500" spans="1:22" x14ac:dyDescent="0.2">
      <c r="A500" s="13"/>
      <c r="B500" s="14" t="str">
        <f>IF(A500="","",INDEX(proveedores[Proveedor],MATCH(A500,proveedores[Código],0)))</f>
        <v/>
      </c>
      <c r="C500" s="14" t="str">
        <f>IF(A500="","",INDEX(proveedores[Material],MATCH(A500,proveedores[Código],0)))</f>
        <v/>
      </c>
      <c r="D500" s="15" t="str">
        <f>IF(A500="","",INDEX(proveedores[Perfil],MATCH(A500,proveedores[Código],0)))</f>
        <v/>
      </c>
      <c r="E500" s="15" t="str">
        <f>IF(A500="","",IFERROR(INDEX(proveedores[Nivel de criticidad],MATCH(A500,proveedores[Código],0)),""))</f>
        <v/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5">
        <f t="shared" si="20"/>
        <v>100</v>
      </c>
      <c r="V500" s="12" t="str">
        <f t="shared" si="21"/>
        <v>Clase A++</v>
      </c>
    </row>
    <row r="501" spans="1:22" x14ac:dyDescent="0.2">
      <c r="A501" s="13"/>
      <c r="B501" s="14" t="str">
        <f>IF(A501="","",INDEX(proveedores[Proveedor],MATCH(A501,proveedores[Código],0)))</f>
        <v/>
      </c>
      <c r="C501" s="14" t="str">
        <f>IF(A501="","",INDEX(proveedores[Material],MATCH(A501,proveedores[Código],0)))</f>
        <v/>
      </c>
      <c r="D501" s="15" t="str">
        <f>IF(A501="","",INDEX(proveedores[Perfil],MATCH(A501,proveedores[Código],0)))</f>
        <v/>
      </c>
      <c r="E501" s="15" t="str">
        <f>IF(A501="","",IFERROR(INDEX(proveedores[Nivel de criticidad],MATCH(A501,proveedores[Código],0)),""))</f>
        <v/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5">
        <f t="shared" si="20"/>
        <v>100</v>
      </c>
      <c r="V501" s="12" t="str">
        <f t="shared" si="21"/>
        <v>Clase A++</v>
      </c>
    </row>
    <row r="502" spans="1:22" x14ac:dyDescent="0.2">
      <c r="A502" s="13"/>
      <c r="B502" s="14" t="str">
        <f>IF(A502="","",INDEX(proveedores[Proveedor],MATCH(A502,proveedores[Código],0)))</f>
        <v/>
      </c>
      <c r="C502" s="14" t="str">
        <f>IF(A502="","",INDEX(proveedores[Material],MATCH(A502,proveedores[Código],0)))</f>
        <v/>
      </c>
      <c r="D502" s="15" t="str">
        <f>IF(A502="","",INDEX(proveedores[Perfil],MATCH(A502,proveedores[Código],0)))</f>
        <v/>
      </c>
      <c r="E502" s="15" t="str">
        <f>IF(A502="","",IFERROR(INDEX(proveedores[Nivel de criticidad],MATCH(A502,proveedores[Código],0)),""))</f>
        <v/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5">
        <f t="shared" si="20"/>
        <v>100</v>
      </c>
      <c r="V502" s="12" t="str">
        <f t="shared" si="21"/>
        <v>Clase A++</v>
      </c>
    </row>
    <row r="503" spans="1:22" x14ac:dyDescent="0.2">
      <c r="A503" s="13"/>
      <c r="B503" s="14" t="str">
        <f>IF(A503="","",INDEX(proveedores[Proveedor],MATCH(A503,proveedores[Código],0)))</f>
        <v/>
      </c>
      <c r="C503" s="14" t="str">
        <f>IF(A503="","",INDEX(proveedores[Material],MATCH(A503,proveedores[Código],0)))</f>
        <v/>
      </c>
      <c r="D503" s="15" t="str">
        <f>IF(A503="","",INDEX(proveedores[Perfil],MATCH(A503,proveedores[Código],0)))</f>
        <v/>
      </c>
      <c r="E503" s="15" t="str">
        <f>IF(A503="","",IFERROR(INDEX(proveedores[Nivel de criticidad],MATCH(A503,proveedores[Código],0)),""))</f>
        <v/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5">
        <f t="shared" si="20"/>
        <v>100</v>
      </c>
      <c r="V503" s="12" t="str">
        <f t="shared" si="21"/>
        <v>Clase A++</v>
      </c>
    </row>
    <row r="504" spans="1:22" x14ac:dyDescent="0.2">
      <c r="A504" s="13"/>
      <c r="B504" s="14" t="str">
        <f>IF(A504="","",INDEX(proveedores[Proveedor],MATCH(A504,proveedores[Código],0)))</f>
        <v/>
      </c>
      <c r="C504" s="14" t="str">
        <f>IF(A504="","",INDEX(proveedores[Material],MATCH(A504,proveedores[Código],0)))</f>
        <v/>
      </c>
      <c r="D504" s="15" t="str">
        <f>IF(A504="","",INDEX(proveedores[Perfil],MATCH(A504,proveedores[Código],0)))</f>
        <v/>
      </c>
      <c r="E504" s="15" t="str">
        <f>IF(A504="","",IFERROR(INDEX(proveedores[Nivel de criticidad],MATCH(A504,proveedores[Código],0)),""))</f>
        <v/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5">
        <f t="shared" si="20"/>
        <v>100</v>
      </c>
      <c r="V504" s="12" t="str">
        <f t="shared" si="21"/>
        <v>Clase A++</v>
      </c>
    </row>
    <row r="505" spans="1:22" x14ac:dyDescent="0.2">
      <c r="A505" s="13"/>
      <c r="B505" s="14" t="str">
        <f>IF(A505="","",INDEX(proveedores[Proveedor],MATCH(A505,proveedores[Código],0)))</f>
        <v/>
      </c>
      <c r="C505" s="14" t="str">
        <f>IF(A505="","",INDEX(proveedores[Material],MATCH(A505,proveedores[Código],0)))</f>
        <v/>
      </c>
      <c r="D505" s="15" t="str">
        <f>IF(A505="","",INDEX(proveedores[Perfil],MATCH(A505,proveedores[Código],0)))</f>
        <v/>
      </c>
      <c r="E505" s="15" t="str">
        <f>IF(A505="","",IFERROR(INDEX(proveedores[Nivel de criticidad],MATCH(A505,proveedores[Código],0)),""))</f>
        <v/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5">
        <f t="shared" si="20"/>
        <v>100</v>
      </c>
      <c r="V505" s="12" t="str">
        <f t="shared" si="21"/>
        <v>Clase A++</v>
      </c>
    </row>
    <row r="506" spans="1:22" x14ac:dyDescent="0.2">
      <c r="A506" s="13"/>
      <c r="B506" s="14" t="str">
        <f>IF(A506="","",INDEX(proveedores[Proveedor],MATCH(A506,proveedores[Código],0)))</f>
        <v/>
      </c>
      <c r="C506" s="14" t="str">
        <f>IF(A506="","",INDEX(proveedores[Material],MATCH(A506,proveedores[Código],0)))</f>
        <v/>
      </c>
      <c r="D506" s="15" t="str">
        <f>IF(A506="","",INDEX(proveedores[Perfil],MATCH(A506,proveedores[Código],0)))</f>
        <v/>
      </c>
      <c r="E506" s="15" t="str">
        <f>IF(A506="","",IFERROR(INDEX(proveedores[Nivel de criticidad],MATCH(A506,proveedores[Código],0)),""))</f>
        <v/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5">
        <f t="shared" si="20"/>
        <v>100</v>
      </c>
      <c r="V506" s="12" t="str">
        <f t="shared" si="21"/>
        <v>Clase A++</v>
      </c>
    </row>
    <row r="507" spans="1:22" x14ac:dyDescent="0.2">
      <c r="A507" s="13"/>
      <c r="B507" s="14" t="str">
        <f>IF(A507="","",INDEX(proveedores[Proveedor],MATCH(A507,proveedores[Código],0)))</f>
        <v/>
      </c>
      <c r="C507" s="14" t="str">
        <f>IF(A507="","",INDEX(proveedores[Material],MATCH(A507,proveedores[Código],0)))</f>
        <v/>
      </c>
      <c r="D507" s="15" t="str">
        <f>IF(A507="","",INDEX(proveedores[Perfil],MATCH(A507,proveedores[Código],0)))</f>
        <v/>
      </c>
      <c r="E507" s="15" t="str">
        <f>IF(A507="","",IFERROR(INDEX(proveedores[Nivel de criticidad],MATCH(A507,proveedores[Código],0)),""))</f>
        <v/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5">
        <f t="shared" si="20"/>
        <v>100</v>
      </c>
      <c r="V507" s="12" t="str">
        <f t="shared" si="21"/>
        <v>Clase A++</v>
      </c>
    </row>
    <row r="508" spans="1:22" x14ac:dyDescent="0.2">
      <c r="A508" s="13"/>
      <c r="B508" s="14" t="str">
        <f>IF(A508="","",INDEX(proveedores[Proveedor],MATCH(A508,proveedores[Código],0)))</f>
        <v/>
      </c>
      <c r="C508" s="14" t="str">
        <f>IF(A508="","",INDEX(proveedores[Material],MATCH(A508,proveedores[Código],0)))</f>
        <v/>
      </c>
      <c r="D508" s="15" t="str">
        <f>IF(A508="","",INDEX(proveedores[Perfil],MATCH(A508,proveedores[Código],0)))</f>
        <v/>
      </c>
      <c r="E508" s="15" t="str">
        <f>IF(A508="","",IFERROR(INDEX(proveedores[Nivel de criticidad],MATCH(A508,proveedores[Código],0)),""))</f>
        <v/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5">
        <f t="shared" si="20"/>
        <v>100</v>
      </c>
      <c r="V508" s="12" t="str">
        <f t="shared" si="21"/>
        <v>Clase A++</v>
      </c>
    </row>
    <row r="509" spans="1:22" x14ac:dyDescent="0.2">
      <c r="A509" s="13"/>
      <c r="B509" s="14" t="str">
        <f>IF(A509="","",INDEX(proveedores[Proveedor],MATCH(A509,proveedores[Código],0)))</f>
        <v/>
      </c>
      <c r="C509" s="14" t="str">
        <f>IF(A509="","",INDEX(proveedores[Material],MATCH(A509,proveedores[Código],0)))</f>
        <v/>
      </c>
      <c r="D509" s="15" t="str">
        <f>IF(A509="","",INDEX(proveedores[Perfil],MATCH(A509,proveedores[Código],0)))</f>
        <v/>
      </c>
      <c r="E509" s="15" t="str">
        <f>IF(A509="","",IFERROR(INDEX(proveedores[Nivel de criticidad],MATCH(A509,proveedores[Código],0)),""))</f>
        <v/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5">
        <f t="shared" si="20"/>
        <v>100</v>
      </c>
      <c r="V509" s="12" t="str">
        <f t="shared" si="21"/>
        <v>Clase A++</v>
      </c>
    </row>
    <row r="510" spans="1:22" x14ac:dyDescent="0.2">
      <c r="A510" s="13"/>
      <c r="B510" s="14" t="str">
        <f>IF(A510="","",INDEX(proveedores[Proveedor],MATCH(A510,proveedores[Código],0)))</f>
        <v/>
      </c>
      <c r="C510" s="14" t="str">
        <f>IF(A510="","",INDEX(proveedores[Material],MATCH(A510,proveedores[Código],0)))</f>
        <v/>
      </c>
      <c r="D510" s="15" t="str">
        <f>IF(A510="","",INDEX(proveedores[Perfil],MATCH(A510,proveedores[Código],0)))</f>
        <v/>
      </c>
      <c r="E510" s="15" t="str">
        <f>IF(A510="","",IFERROR(INDEX(proveedores[Nivel de criticidad],MATCH(A510,proveedores[Código],0)),""))</f>
        <v/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5">
        <f t="shared" si="20"/>
        <v>100</v>
      </c>
      <c r="V510" s="12" t="str">
        <f t="shared" si="21"/>
        <v>Clase A++</v>
      </c>
    </row>
    <row r="511" spans="1:22" x14ac:dyDescent="0.2">
      <c r="A511" s="13"/>
      <c r="B511" s="14" t="str">
        <f>IF(A511="","",INDEX(proveedores[Proveedor],MATCH(A511,proveedores[Código],0)))</f>
        <v/>
      </c>
      <c r="C511" s="14" t="str">
        <f>IF(A511="","",INDEX(proveedores[Material],MATCH(A511,proveedores[Código],0)))</f>
        <v/>
      </c>
      <c r="D511" s="15" t="str">
        <f>IF(A511="","",INDEX(proveedores[Perfil],MATCH(A511,proveedores[Código],0)))</f>
        <v/>
      </c>
      <c r="E511" s="15" t="str">
        <f>IF(A511="","",IFERROR(INDEX(proveedores[Nivel de criticidad],MATCH(A511,proveedores[Código],0)),""))</f>
        <v/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5">
        <f t="shared" si="20"/>
        <v>100</v>
      </c>
      <c r="V511" s="12" t="str">
        <f t="shared" si="21"/>
        <v>Clase A++</v>
      </c>
    </row>
    <row r="512" spans="1:22" x14ac:dyDescent="0.2">
      <c r="A512" s="13"/>
      <c r="B512" s="14" t="str">
        <f>IF(A512="","",INDEX(proveedores[Proveedor],MATCH(A512,proveedores[Código],0)))</f>
        <v/>
      </c>
      <c r="C512" s="14" t="str">
        <f>IF(A512="","",INDEX(proveedores[Material],MATCH(A512,proveedores[Código],0)))</f>
        <v/>
      </c>
      <c r="D512" s="15" t="str">
        <f>IF(A512="","",INDEX(proveedores[Perfil],MATCH(A512,proveedores[Código],0)))</f>
        <v/>
      </c>
      <c r="E512" s="15" t="str">
        <f>IF(A512="","",IFERROR(INDEX(proveedores[Nivel de criticidad],MATCH(A512,proveedores[Código],0)),""))</f>
        <v/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5">
        <f t="shared" si="20"/>
        <v>100</v>
      </c>
      <c r="V512" s="12" t="str">
        <f t="shared" si="21"/>
        <v>Clase A++</v>
      </c>
    </row>
    <row r="513" spans="1:22" x14ac:dyDescent="0.2">
      <c r="A513" s="13"/>
      <c r="B513" s="14" t="str">
        <f>IF(A513="","",INDEX(proveedores[Proveedor],MATCH(A513,proveedores[Código],0)))</f>
        <v/>
      </c>
      <c r="C513" s="14" t="str">
        <f>IF(A513="","",INDEX(proveedores[Material],MATCH(A513,proveedores[Código],0)))</f>
        <v/>
      </c>
      <c r="D513" s="15" t="str">
        <f>IF(A513="","",INDEX(proveedores[Perfil],MATCH(A513,proveedores[Código],0)))</f>
        <v/>
      </c>
      <c r="E513" s="15" t="str">
        <f>IF(A513="","",IFERROR(INDEX(proveedores[Nivel de criticidad],MATCH(A513,proveedores[Código],0)),""))</f>
        <v/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5">
        <f t="shared" si="20"/>
        <v>100</v>
      </c>
      <c r="V513" s="12" t="str">
        <f t="shared" si="21"/>
        <v>Clase A++</v>
      </c>
    </row>
    <row r="514" spans="1:22" x14ac:dyDescent="0.2">
      <c r="A514" s="13"/>
      <c r="B514" s="14" t="str">
        <f>IF(A514="","",INDEX(proveedores[Proveedor],MATCH(A514,proveedores[Código],0)))</f>
        <v/>
      </c>
      <c r="C514" s="14" t="str">
        <f>IF(A514="","",INDEX(proveedores[Material],MATCH(A514,proveedores[Código],0)))</f>
        <v/>
      </c>
      <c r="D514" s="15" t="str">
        <f>IF(A514="","",INDEX(proveedores[Perfil],MATCH(A514,proveedores[Código],0)))</f>
        <v/>
      </c>
      <c r="E514" s="15" t="str">
        <f>IF(A514="","",IFERROR(INDEX(proveedores[Nivel de criticidad],MATCH(A514,proveedores[Código],0)),""))</f>
        <v/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5">
        <f t="shared" si="20"/>
        <v>100</v>
      </c>
      <c r="V514" s="12" t="str">
        <f t="shared" si="21"/>
        <v>Clase A++</v>
      </c>
    </row>
    <row r="515" spans="1:22" x14ac:dyDescent="0.2">
      <c r="A515" s="13"/>
      <c r="B515" s="14" t="str">
        <f>IF(A515="","",INDEX(proveedores[Proveedor],MATCH(A515,proveedores[Código],0)))</f>
        <v/>
      </c>
      <c r="C515" s="14" t="str">
        <f>IF(A515="","",INDEX(proveedores[Material],MATCH(A515,proveedores[Código],0)))</f>
        <v/>
      </c>
      <c r="D515" s="15" t="str">
        <f>IF(A515="","",INDEX(proveedores[Perfil],MATCH(A515,proveedores[Código],0)))</f>
        <v/>
      </c>
      <c r="E515" s="15" t="str">
        <f>IF(A515="","",IFERROR(INDEX(proveedores[Nivel de criticidad],MATCH(A515,proveedores[Código],0)),""))</f>
        <v/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5">
        <f t="shared" si="20"/>
        <v>100</v>
      </c>
      <c r="V515" s="12" t="str">
        <f t="shared" si="21"/>
        <v>Clase A++</v>
      </c>
    </row>
    <row r="516" spans="1:22" x14ac:dyDescent="0.2">
      <c r="A516" s="13"/>
      <c r="B516" s="14" t="str">
        <f>IF(A516="","",INDEX(proveedores[Proveedor],MATCH(A516,proveedores[Código],0)))</f>
        <v/>
      </c>
      <c r="C516" s="14" t="str">
        <f>IF(A516="","",INDEX(proveedores[Material],MATCH(A516,proveedores[Código],0)))</f>
        <v/>
      </c>
      <c r="D516" s="15" t="str">
        <f>IF(A516="","",INDEX(proveedores[Perfil],MATCH(A516,proveedores[Código],0)))</f>
        <v/>
      </c>
      <c r="E516" s="15" t="str">
        <f>IF(A516="","",IFERROR(INDEX(proveedores[Nivel de criticidad],MATCH(A516,proveedores[Código],0)),""))</f>
        <v/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5">
        <f t="shared" si="20"/>
        <v>100</v>
      </c>
      <c r="V516" s="12" t="str">
        <f t="shared" si="21"/>
        <v>Clase A++</v>
      </c>
    </row>
    <row r="517" spans="1:22" x14ac:dyDescent="0.2">
      <c r="A517" s="13"/>
      <c r="B517" s="14" t="str">
        <f>IF(A517="","",INDEX(proveedores[Proveedor],MATCH(A517,proveedores[Código],0)))</f>
        <v/>
      </c>
      <c r="C517" s="14" t="str">
        <f>IF(A517="","",INDEX(proveedores[Material],MATCH(A517,proveedores[Código],0)))</f>
        <v/>
      </c>
      <c r="D517" s="15" t="str">
        <f>IF(A517="","",INDEX(proveedores[Perfil],MATCH(A517,proveedores[Código],0)))</f>
        <v/>
      </c>
      <c r="E517" s="15" t="str">
        <f>IF(A517="","",IFERROR(INDEX(proveedores[Nivel de criticidad],MATCH(A517,proveedores[Código],0)),""))</f>
        <v/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5">
        <f t="shared" si="20"/>
        <v>100</v>
      </c>
      <c r="V517" s="12" t="str">
        <f t="shared" si="21"/>
        <v>Clase A++</v>
      </c>
    </row>
    <row r="518" spans="1:22" x14ac:dyDescent="0.2">
      <c r="A518" s="13"/>
      <c r="B518" s="14" t="str">
        <f>IF(A518="","",INDEX(proveedores[Proveedor],MATCH(A518,proveedores[Código],0)))</f>
        <v/>
      </c>
      <c r="C518" s="14" t="str">
        <f>IF(A518="","",INDEX(proveedores[Material],MATCH(A518,proveedores[Código],0)))</f>
        <v/>
      </c>
      <c r="D518" s="15" t="str">
        <f>IF(A518="","",INDEX(proveedores[Perfil],MATCH(A518,proveedores[Código],0)))</f>
        <v/>
      </c>
      <c r="E518" s="15" t="str">
        <f>IF(A518="","",IFERROR(INDEX(proveedores[Nivel de criticidad],MATCH(A518,proveedores[Código],0)),""))</f>
        <v/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5">
        <f t="shared" ref="U518:U581" si="22">IF(D518="Internacional", MIN(IF(((F518*10)+(G518*3)+(H518*4)+(I518*5)+(J518*8)+(O518*5)+(P518*2)+IF(L518="N/A",0,(L518*10)+(M518*5)+(N518*3)))&gt;0,98,100), ((MAX(0, 30 - (F518*10) - (G518*3))/30)*45) + ((MAX(0, 25 - (H518*4) - (I518*5) - (J518*8) - (K518*5))/25)*35) + ((MAX(0, 15 - (O518*5) - (P518*2))/15)*20) + (IF(Q518="N/A",0,Q518)*2.5) + (IF(R518="N/A",0,R518)*2.5) + (IF(S518="N/A",0,S518)*2.5) + (IF(T518="N/A",0,T518)*2.5)), IF(D518="Local Insumos", MIN(IF(((F518*10)+(G518*3)+(H518*4)+(I518*5)+(J518*8)+(O518*5)+(P518*2)+IF(L518="N/A",0,(L518*10)+(M518*5)+(N518*3)))&gt;0,98,100), ((MAX(0, 30 - (F518*10) - (G518*3))/30)*35) + ((MAX(0, 25 - (H518*4) - (I518*5) - (J518*8) - (K518*5))/25)*30) + MAX(0, 20 - (L518*10) - (M518*5) - (N518*3)) + MAX(0, 15 - (O518*5) - (P518*2)) + (IF(Q518="N/A",0,Q518)*2.5) + (IF(R518="N/A",0,R518)*2.5) + (IF(S518="N/A",0,S518)*2.5) + (IF(T518="N/A",0,T518)*2.5)), MIN(IF(((F518*10)+(G518*3)+(H518*4)+(I518*5)+(J518*8)+(O518*5)+(P518*2)+IF(L518="N/A",0,(L518*10)+(M518*5)+(N518*3)))&gt;0,98,100), ((MAX(0, 25 - (H518*4) - (I518*5) - (J518*8) - (K518*5))/25)*55) + ((MAX(0, 20 - (L518*10) - (M518*5) - (N518*3))/20)*30) + ((MAX(0, 15 - (O518*5) - (P518*2))/15)*15))))</f>
        <v>100</v>
      </c>
      <c r="V518" s="12" t="str">
        <f t="shared" si="21"/>
        <v>Clase A++</v>
      </c>
    </row>
    <row r="519" spans="1:22" x14ac:dyDescent="0.2">
      <c r="A519" s="13"/>
      <c r="B519" s="14" t="str">
        <f>IF(A519="","",INDEX(proveedores[Proveedor],MATCH(A519,proveedores[Código],0)))</f>
        <v/>
      </c>
      <c r="C519" s="14" t="str">
        <f>IF(A519="","",INDEX(proveedores[Material],MATCH(A519,proveedores[Código],0)))</f>
        <v/>
      </c>
      <c r="D519" s="15" t="str">
        <f>IF(A519="","",INDEX(proveedores[Perfil],MATCH(A519,proveedores[Código],0)))</f>
        <v/>
      </c>
      <c r="E519" s="15" t="str">
        <f>IF(A519="","",IFERROR(INDEX(proveedores[Nivel de criticidad],MATCH(A519,proveedores[Código],0)),""))</f>
        <v/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5">
        <f t="shared" si="22"/>
        <v>100</v>
      </c>
      <c r="V519" s="12" t="str">
        <f t="shared" ref="V519:V582" si="23">IF(U519&gt;=96, "Clase A++", IF(U519&gt;=85, "Clase A", IF(U519&gt;=70, "Clase B", "Clase C")))</f>
        <v>Clase A++</v>
      </c>
    </row>
    <row r="520" spans="1:22" x14ac:dyDescent="0.2">
      <c r="A520" s="13"/>
      <c r="B520" s="14" t="str">
        <f>IF(A520="","",INDEX(proveedores[Proveedor],MATCH(A520,proveedores[Código],0)))</f>
        <v/>
      </c>
      <c r="C520" s="14" t="str">
        <f>IF(A520="","",INDEX(proveedores[Material],MATCH(A520,proveedores[Código],0)))</f>
        <v/>
      </c>
      <c r="D520" s="15" t="str">
        <f>IF(A520="","",INDEX(proveedores[Perfil],MATCH(A520,proveedores[Código],0)))</f>
        <v/>
      </c>
      <c r="E520" s="15" t="str">
        <f>IF(A520="","",IFERROR(INDEX(proveedores[Nivel de criticidad],MATCH(A520,proveedores[Código],0)),""))</f>
        <v/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5">
        <f t="shared" si="22"/>
        <v>100</v>
      </c>
      <c r="V520" s="12" t="str">
        <f t="shared" si="23"/>
        <v>Clase A++</v>
      </c>
    </row>
    <row r="521" spans="1:22" x14ac:dyDescent="0.2">
      <c r="A521" s="13"/>
      <c r="B521" s="14" t="str">
        <f>IF(A521="","",INDEX(proveedores[Proveedor],MATCH(A521,proveedores[Código],0)))</f>
        <v/>
      </c>
      <c r="C521" s="14" t="str">
        <f>IF(A521="","",INDEX(proveedores[Material],MATCH(A521,proveedores[Código],0)))</f>
        <v/>
      </c>
      <c r="D521" s="15" t="str">
        <f>IF(A521="","",INDEX(proveedores[Perfil],MATCH(A521,proveedores[Código],0)))</f>
        <v/>
      </c>
      <c r="E521" s="15" t="str">
        <f>IF(A521="","",IFERROR(INDEX(proveedores[Nivel de criticidad],MATCH(A521,proveedores[Código],0)),""))</f>
        <v/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5">
        <f t="shared" si="22"/>
        <v>100</v>
      </c>
      <c r="V521" s="12" t="str">
        <f t="shared" si="23"/>
        <v>Clase A++</v>
      </c>
    </row>
    <row r="522" spans="1:22" x14ac:dyDescent="0.2">
      <c r="A522" s="13"/>
      <c r="B522" s="14" t="str">
        <f>IF(A522="","",INDEX(proveedores[Proveedor],MATCH(A522,proveedores[Código],0)))</f>
        <v/>
      </c>
      <c r="C522" s="14" t="str">
        <f>IF(A522="","",INDEX(proveedores[Material],MATCH(A522,proveedores[Código],0)))</f>
        <v/>
      </c>
      <c r="D522" s="15" t="str">
        <f>IF(A522="","",INDEX(proveedores[Perfil],MATCH(A522,proveedores[Código],0)))</f>
        <v/>
      </c>
      <c r="E522" s="15" t="str">
        <f>IF(A522="","",IFERROR(INDEX(proveedores[Nivel de criticidad],MATCH(A522,proveedores[Código],0)),""))</f>
        <v/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5">
        <f t="shared" si="22"/>
        <v>100</v>
      </c>
      <c r="V522" s="12" t="str">
        <f t="shared" si="23"/>
        <v>Clase A++</v>
      </c>
    </row>
    <row r="523" spans="1:22" x14ac:dyDescent="0.2">
      <c r="A523" s="13"/>
      <c r="B523" s="14" t="str">
        <f>IF(A523="","",INDEX(proveedores[Proveedor],MATCH(A523,proveedores[Código],0)))</f>
        <v/>
      </c>
      <c r="C523" s="14" t="str">
        <f>IF(A523="","",INDEX(proveedores[Material],MATCH(A523,proveedores[Código],0)))</f>
        <v/>
      </c>
      <c r="D523" s="15" t="str">
        <f>IF(A523="","",INDEX(proveedores[Perfil],MATCH(A523,proveedores[Código],0)))</f>
        <v/>
      </c>
      <c r="E523" s="15" t="str">
        <f>IF(A523="","",IFERROR(INDEX(proveedores[Nivel de criticidad],MATCH(A523,proveedores[Código],0)),""))</f>
        <v/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5">
        <f t="shared" si="22"/>
        <v>100</v>
      </c>
      <c r="V523" s="12" t="str">
        <f t="shared" si="23"/>
        <v>Clase A++</v>
      </c>
    </row>
    <row r="524" spans="1:22" x14ac:dyDescent="0.2">
      <c r="A524" s="13"/>
      <c r="B524" s="14" t="str">
        <f>IF(A524="","",INDEX(proveedores[Proveedor],MATCH(A524,proveedores[Código],0)))</f>
        <v/>
      </c>
      <c r="C524" s="14" t="str">
        <f>IF(A524="","",INDEX(proveedores[Material],MATCH(A524,proveedores[Código],0)))</f>
        <v/>
      </c>
      <c r="D524" s="15" t="str">
        <f>IF(A524="","",INDEX(proveedores[Perfil],MATCH(A524,proveedores[Código],0)))</f>
        <v/>
      </c>
      <c r="E524" s="15" t="str">
        <f>IF(A524="","",IFERROR(INDEX(proveedores[Nivel de criticidad],MATCH(A524,proveedores[Código],0)),""))</f>
        <v/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5">
        <f t="shared" si="22"/>
        <v>100</v>
      </c>
      <c r="V524" s="12" t="str">
        <f t="shared" si="23"/>
        <v>Clase A++</v>
      </c>
    </row>
    <row r="525" spans="1:22" x14ac:dyDescent="0.2">
      <c r="A525" s="13"/>
      <c r="B525" s="14" t="str">
        <f>IF(A525="","",INDEX(proveedores[Proveedor],MATCH(A525,proveedores[Código],0)))</f>
        <v/>
      </c>
      <c r="C525" s="14" t="str">
        <f>IF(A525="","",INDEX(proveedores[Material],MATCH(A525,proveedores[Código],0)))</f>
        <v/>
      </c>
      <c r="D525" s="15" t="str">
        <f>IF(A525="","",INDEX(proveedores[Perfil],MATCH(A525,proveedores[Código],0)))</f>
        <v/>
      </c>
      <c r="E525" s="15" t="str">
        <f>IF(A525="","",IFERROR(INDEX(proveedores[Nivel de criticidad],MATCH(A525,proveedores[Código],0)),""))</f>
        <v/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5">
        <f t="shared" si="22"/>
        <v>100</v>
      </c>
      <c r="V525" s="12" t="str">
        <f t="shared" si="23"/>
        <v>Clase A++</v>
      </c>
    </row>
    <row r="526" spans="1:22" x14ac:dyDescent="0.2">
      <c r="A526" s="13"/>
      <c r="B526" s="14" t="str">
        <f>IF(A526="","",INDEX(proveedores[Proveedor],MATCH(A526,proveedores[Código],0)))</f>
        <v/>
      </c>
      <c r="C526" s="14" t="str">
        <f>IF(A526="","",INDEX(proveedores[Material],MATCH(A526,proveedores[Código],0)))</f>
        <v/>
      </c>
      <c r="D526" s="15" t="str">
        <f>IF(A526="","",INDEX(proveedores[Perfil],MATCH(A526,proveedores[Código],0)))</f>
        <v/>
      </c>
      <c r="E526" s="15" t="str">
        <f>IF(A526="","",IFERROR(INDEX(proveedores[Nivel de criticidad],MATCH(A526,proveedores[Código],0)),""))</f>
        <v/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5">
        <f t="shared" si="22"/>
        <v>100</v>
      </c>
      <c r="V526" s="12" t="str">
        <f t="shared" si="23"/>
        <v>Clase A++</v>
      </c>
    </row>
    <row r="527" spans="1:22" x14ac:dyDescent="0.2">
      <c r="A527" s="13"/>
      <c r="B527" s="14" t="str">
        <f>IF(A527="","",INDEX(proveedores[Proveedor],MATCH(A527,proveedores[Código],0)))</f>
        <v/>
      </c>
      <c r="C527" s="14" t="str">
        <f>IF(A527="","",INDEX(proveedores[Material],MATCH(A527,proveedores[Código],0)))</f>
        <v/>
      </c>
      <c r="D527" s="15" t="str">
        <f>IF(A527="","",INDEX(proveedores[Perfil],MATCH(A527,proveedores[Código],0)))</f>
        <v/>
      </c>
      <c r="E527" s="15" t="str">
        <f>IF(A527="","",IFERROR(INDEX(proveedores[Nivel de criticidad],MATCH(A527,proveedores[Código],0)),""))</f>
        <v/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5">
        <f t="shared" si="22"/>
        <v>100</v>
      </c>
      <c r="V527" s="12" t="str">
        <f t="shared" si="23"/>
        <v>Clase A++</v>
      </c>
    </row>
    <row r="528" spans="1:22" x14ac:dyDescent="0.2">
      <c r="A528" s="13"/>
      <c r="B528" s="14" t="str">
        <f>IF(A528="","",INDEX(proveedores[Proveedor],MATCH(A528,proveedores[Código],0)))</f>
        <v/>
      </c>
      <c r="C528" s="14" t="str">
        <f>IF(A528="","",INDEX(proveedores[Material],MATCH(A528,proveedores[Código],0)))</f>
        <v/>
      </c>
      <c r="D528" s="15" t="str">
        <f>IF(A528="","",INDEX(proveedores[Perfil],MATCH(A528,proveedores[Código],0)))</f>
        <v/>
      </c>
      <c r="E528" s="15" t="str">
        <f>IF(A528="","",IFERROR(INDEX(proveedores[Nivel de criticidad],MATCH(A528,proveedores[Código],0)),""))</f>
        <v/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5">
        <f t="shared" si="22"/>
        <v>100</v>
      </c>
      <c r="V528" s="12" t="str">
        <f t="shared" si="23"/>
        <v>Clase A++</v>
      </c>
    </row>
    <row r="529" spans="1:22" x14ac:dyDescent="0.2">
      <c r="A529" s="13"/>
      <c r="B529" s="14" t="str">
        <f>IF(A529="","",INDEX(proveedores[Proveedor],MATCH(A529,proveedores[Código],0)))</f>
        <v/>
      </c>
      <c r="C529" s="14" t="str">
        <f>IF(A529="","",INDEX(proveedores[Material],MATCH(A529,proveedores[Código],0)))</f>
        <v/>
      </c>
      <c r="D529" s="15" t="str">
        <f>IF(A529="","",INDEX(proveedores[Perfil],MATCH(A529,proveedores[Código],0)))</f>
        <v/>
      </c>
      <c r="E529" s="15" t="str">
        <f>IF(A529="","",IFERROR(INDEX(proveedores[Nivel de criticidad],MATCH(A529,proveedores[Código],0)),""))</f>
        <v/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5">
        <f t="shared" si="22"/>
        <v>100</v>
      </c>
      <c r="V529" s="12" t="str">
        <f t="shared" si="23"/>
        <v>Clase A++</v>
      </c>
    </row>
    <row r="530" spans="1:22" x14ac:dyDescent="0.2">
      <c r="A530" s="13"/>
      <c r="B530" s="14" t="str">
        <f>IF(A530="","",INDEX(proveedores[Proveedor],MATCH(A530,proveedores[Código],0)))</f>
        <v/>
      </c>
      <c r="C530" s="14" t="str">
        <f>IF(A530="","",INDEX(proveedores[Material],MATCH(A530,proveedores[Código],0)))</f>
        <v/>
      </c>
      <c r="D530" s="15" t="str">
        <f>IF(A530="","",INDEX(proveedores[Perfil],MATCH(A530,proveedores[Código],0)))</f>
        <v/>
      </c>
      <c r="E530" s="15" t="str">
        <f>IF(A530="","",IFERROR(INDEX(proveedores[Nivel de criticidad],MATCH(A530,proveedores[Código],0)),""))</f>
        <v/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5">
        <f t="shared" si="22"/>
        <v>100</v>
      </c>
      <c r="V530" s="12" t="str">
        <f t="shared" si="23"/>
        <v>Clase A++</v>
      </c>
    </row>
    <row r="531" spans="1:22" x14ac:dyDescent="0.2">
      <c r="A531" s="13"/>
      <c r="B531" s="14" t="str">
        <f>IF(A531="","",INDEX(proveedores[Proveedor],MATCH(A531,proveedores[Código],0)))</f>
        <v/>
      </c>
      <c r="C531" s="14" t="str">
        <f>IF(A531="","",INDEX(proveedores[Material],MATCH(A531,proveedores[Código],0)))</f>
        <v/>
      </c>
      <c r="D531" s="15" t="str">
        <f>IF(A531="","",INDEX(proveedores[Perfil],MATCH(A531,proveedores[Código],0)))</f>
        <v/>
      </c>
      <c r="E531" s="15" t="str">
        <f>IF(A531="","",IFERROR(INDEX(proveedores[Nivel de criticidad],MATCH(A531,proveedores[Código],0)),""))</f>
        <v/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5">
        <f t="shared" si="22"/>
        <v>100</v>
      </c>
      <c r="V531" s="12" t="str">
        <f t="shared" si="23"/>
        <v>Clase A++</v>
      </c>
    </row>
    <row r="532" spans="1:22" x14ac:dyDescent="0.2">
      <c r="A532" s="13"/>
      <c r="B532" s="14" t="str">
        <f>IF(A532="","",INDEX(proveedores[Proveedor],MATCH(A532,proveedores[Código],0)))</f>
        <v/>
      </c>
      <c r="C532" s="14" t="str">
        <f>IF(A532="","",INDEX(proveedores[Material],MATCH(A532,proveedores[Código],0)))</f>
        <v/>
      </c>
      <c r="D532" s="15" t="str">
        <f>IF(A532="","",INDEX(proveedores[Perfil],MATCH(A532,proveedores[Código],0)))</f>
        <v/>
      </c>
      <c r="E532" s="15" t="str">
        <f>IF(A532="","",IFERROR(INDEX(proveedores[Nivel de criticidad],MATCH(A532,proveedores[Código],0)),""))</f>
        <v/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5">
        <f t="shared" si="22"/>
        <v>100</v>
      </c>
      <c r="V532" s="12" t="str">
        <f t="shared" si="23"/>
        <v>Clase A++</v>
      </c>
    </row>
    <row r="533" spans="1:22" x14ac:dyDescent="0.2">
      <c r="A533" s="13"/>
      <c r="B533" s="14" t="str">
        <f>IF(A533="","",INDEX(proveedores[Proveedor],MATCH(A533,proveedores[Código],0)))</f>
        <v/>
      </c>
      <c r="C533" s="14" t="str">
        <f>IF(A533="","",INDEX(proveedores[Material],MATCH(A533,proveedores[Código],0)))</f>
        <v/>
      </c>
      <c r="D533" s="15" t="str">
        <f>IF(A533="","",INDEX(proveedores[Perfil],MATCH(A533,proveedores[Código],0)))</f>
        <v/>
      </c>
      <c r="E533" s="15" t="str">
        <f>IF(A533="","",IFERROR(INDEX(proveedores[Nivel de criticidad],MATCH(A533,proveedores[Código],0)),""))</f>
        <v/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5">
        <f t="shared" si="22"/>
        <v>100</v>
      </c>
      <c r="V533" s="12" t="str">
        <f t="shared" si="23"/>
        <v>Clase A++</v>
      </c>
    </row>
    <row r="534" spans="1:22" x14ac:dyDescent="0.2">
      <c r="A534" s="13"/>
      <c r="B534" s="14" t="str">
        <f>IF(A534="","",INDEX(proveedores[Proveedor],MATCH(A534,proveedores[Código],0)))</f>
        <v/>
      </c>
      <c r="C534" s="14" t="str">
        <f>IF(A534="","",INDEX(proveedores[Material],MATCH(A534,proveedores[Código],0)))</f>
        <v/>
      </c>
      <c r="D534" s="15" t="str">
        <f>IF(A534="","",INDEX(proveedores[Perfil],MATCH(A534,proveedores[Código],0)))</f>
        <v/>
      </c>
      <c r="E534" s="15" t="str">
        <f>IF(A534="","",IFERROR(INDEX(proveedores[Nivel de criticidad],MATCH(A534,proveedores[Código],0)),""))</f>
        <v/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5">
        <f t="shared" si="22"/>
        <v>100</v>
      </c>
      <c r="V534" s="12" t="str">
        <f t="shared" si="23"/>
        <v>Clase A++</v>
      </c>
    </row>
    <row r="535" spans="1:22" x14ac:dyDescent="0.2">
      <c r="A535" s="13"/>
      <c r="B535" s="14" t="str">
        <f>IF(A535="","",INDEX(proveedores[Proveedor],MATCH(A535,proveedores[Código],0)))</f>
        <v/>
      </c>
      <c r="C535" s="14" t="str">
        <f>IF(A535="","",INDEX(proveedores[Material],MATCH(A535,proveedores[Código],0)))</f>
        <v/>
      </c>
      <c r="D535" s="15" t="str">
        <f>IF(A535="","",INDEX(proveedores[Perfil],MATCH(A535,proveedores[Código],0)))</f>
        <v/>
      </c>
      <c r="E535" s="15" t="str">
        <f>IF(A535="","",IFERROR(INDEX(proveedores[Nivel de criticidad],MATCH(A535,proveedores[Código],0)),""))</f>
        <v/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5">
        <f t="shared" si="22"/>
        <v>100</v>
      </c>
      <c r="V535" s="12" t="str">
        <f t="shared" si="23"/>
        <v>Clase A++</v>
      </c>
    </row>
    <row r="536" spans="1:22" x14ac:dyDescent="0.2">
      <c r="A536" s="13"/>
      <c r="B536" s="14" t="str">
        <f>IF(A536="","",INDEX(proveedores[Proveedor],MATCH(A536,proveedores[Código],0)))</f>
        <v/>
      </c>
      <c r="C536" s="14" t="str">
        <f>IF(A536="","",INDEX(proveedores[Material],MATCH(A536,proveedores[Código],0)))</f>
        <v/>
      </c>
      <c r="D536" s="15" t="str">
        <f>IF(A536="","",INDEX(proveedores[Perfil],MATCH(A536,proveedores[Código],0)))</f>
        <v/>
      </c>
      <c r="E536" s="15" t="str">
        <f>IF(A536="","",IFERROR(INDEX(proveedores[Nivel de criticidad],MATCH(A536,proveedores[Código],0)),""))</f>
        <v/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5">
        <f t="shared" si="22"/>
        <v>100</v>
      </c>
      <c r="V536" s="12" t="str">
        <f t="shared" si="23"/>
        <v>Clase A++</v>
      </c>
    </row>
    <row r="537" spans="1:22" x14ac:dyDescent="0.2">
      <c r="A537" s="13"/>
      <c r="B537" s="14" t="str">
        <f>IF(A537="","",INDEX(proveedores[Proveedor],MATCH(A537,proveedores[Código],0)))</f>
        <v/>
      </c>
      <c r="C537" s="14" t="str">
        <f>IF(A537="","",INDEX(proveedores[Material],MATCH(A537,proveedores[Código],0)))</f>
        <v/>
      </c>
      <c r="D537" s="15" t="str">
        <f>IF(A537="","",INDEX(proveedores[Perfil],MATCH(A537,proveedores[Código],0)))</f>
        <v/>
      </c>
      <c r="E537" s="15" t="str">
        <f>IF(A537="","",IFERROR(INDEX(proveedores[Nivel de criticidad],MATCH(A537,proveedores[Código],0)),""))</f>
        <v/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5">
        <f t="shared" si="22"/>
        <v>100</v>
      </c>
      <c r="V537" s="12" t="str">
        <f t="shared" si="23"/>
        <v>Clase A++</v>
      </c>
    </row>
    <row r="538" spans="1:22" x14ac:dyDescent="0.2">
      <c r="A538" s="13"/>
      <c r="B538" s="14" t="str">
        <f>IF(A538="","",INDEX(proveedores[Proveedor],MATCH(A538,proveedores[Código],0)))</f>
        <v/>
      </c>
      <c r="C538" s="14" t="str">
        <f>IF(A538="","",INDEX(proveedores[Material],MATCH(A538,proveedores[Código],0)))</f>
        <v/>
      </c>
      <c r="D538" s="15" t="str">
        <f>IF(A538="","",INDEX(proveedores[Perfil],MATCH(A538,proveedores[Código],0)))</f>
        <v/>
      </c>
      <c r="E538" s="15" t="str">
        <f>IF(A538="","",IFERROR(INDEX(proveedores[Nivel de criticidad],MATCH(A538,proveedores[Código],0)),""))</f>
        <v/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5">
        <f t="shared" si="22"/>
        <v>100</v>
      </c>
      <c r="V538" s="12" t="str">
        <f t="shared" si="23"/>
        <v>Clase A++</v>
      </c>
    </row>
    <row r="539" spans="1:22" x14ac:dyDescent="0.2">
      <c r="A539" s="13"/>
      <c r="B539" s="14" t="str">
        <f>IF(A539="","",INDEX(proveedores[Proveedor],MATCH(A539,proveedores[Código],0)))</f>
        <v/>
      </c>
      <c r="C539" s="14" t="str">
        <f>IF(A539="","",INDEX(proveedores[Material],MATCH(A539,proveedores[Código],0)))</f>
        <v/>
      </c>
      <c r="D539" s="15" t="str">
        <f>IF(A539="","",INDEX(proveedores[Perfil],MATCH(A539,proveedores[Código],0)))</f>
        <v/>
      </c>
      <c r="E539" s="15" t="str">
        <f>IF(A539="","",IFERROR(INDEX(proveedores[Nivel de criticidad],MATCH(A539,proveedores[Código],0)),""))</f>
        <v/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5">
        <f t="shared" si="22"/>
        <v>100</v>
      </c>
      <c r="V539" s="12" t="str">
        <f t="shared" si="23"/>
        <v>Clase A++</v>
      </c>
    </row>
    <row r="540" spans="1:22" x14ac:dyDescent="0.2">
      <c r="A540" s="13"/>
      <c r="B540" s="14" t="str">
        <f>IF(A540="","",INDEX(proveedores[Proveedor],MATCH(A540,proveedores[Código],0)))</f>
        <v/>
      </c>
      <c r="C540" s="14" t="str">
        <f>IF(A540="","",INDEX(proveedores[Material],MATCH(A540,proveedores[Código],0)))</f>
        <v/>
      </c>
      <c r="D540" s="15" t="str">
        <f>IF(A540="","",INDEX(proveedores[Perfil],MATCH(A540,proveedores[Código],0)))</f>
        <v/>
      </c>
      <c r="E540" s="15" t="str">
        <f>IF(A540="","",IFERROR(INDEX(proveedores[Nivel de criticidad],MATCH(A540,proveedores[Código],0)),""))</f>
        <v/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5">
        <f t="shared" si="22"/>
        <v>100</v>
      </c>
      <c r="V540" s="12" t="str">
        <f t="shared" si="23"/>
        <v>Clase A++</v>
      </c>
    </row>
    <row r="541" spans="1:22" x14ac:dyDescent="0.2">
      <c r="A541" s="13"/>
      <c r="B541" s="14" t="str">
        <f>IF(A541="","",INDEX(proveedores[Proveedor],MATCH(A541,proveedores[Código],0)))</f>
        <v/>
      </c>
      <c r="C541" s="14" t="str">
        <f>IF(A541="","",INDEX(proveedores[Material],MATCH(A541,proveedores[Código],0)))</f>
        <v/>
      </c>
      <c r="D541" s="15" t="str">
        <f>IF(A541="","",INDEX(proveedores[Perfil],MATCH(A541,proveedores[Código],0)))</f>
        <v/>
      </c>
      <c r="E541" s="15" t="str">
        <f>IF(A541="","",IFERROR(INDEX(proveedores[Nivel de criticidad],MATCH(A541,proveedores[Código],0)),""))</f>
        <v/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5">
        <f t="shared" si="22"/>
        <v>100</v>
      </c>
      <c r="V541" s="12" t="str">
        <f t="shared" si="23"/>
        <v>Clase A++</v>
      </c>
    </row>
    <row r="542" spans="1:22" x14ac:dyDescent="0.2">
      <c r="A542" s="13"/>
      <c r="B542" s="14" t="str">
        <f>IF(A542="","",INDEX(proveedores[Proveedor],MATCH(A542,proveedores[Código],0)))</f>
        <v/>
      </c>
      <c r="C542" s="14" t="str">
        <f>IF(A542="","",INDEX(proveedores[Material],MATCH(A542,proveedores[Código],0)))</f>
        <v/>
      </c>
      <c r="D542" s="15" t="str">
        <f>IF(A542="","",INDEX(proveedores[Perfil],MATCH(A542,proveedores[Código],0)))</f>
        <v/>
      </c>
      <c r="E542" s="15" t="str">
        <f>IF(A542="","",IFERROR(INDEX(proveedores[Nivel de criticidad],MATCH(A542,proveedores[Código],0)),""))</f>
        <v/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5">
        <f t="shared" si="22"/>
        <v>100</v>
      </c>
      <c r="V542" s="12" t="str">
        <f t="shared" si="23"/>
        <v>Clase A++</v>
      </c>
    </row>
    <row r="543" spans="1:22" x14ac:dyDescent="0.2">
      <c r="A543" s="13"/>
      <c r="B543" s="14" t="str">
        <f>IF(A543="","",INDEX(proveedores[Proveedor],MATCH(A543,proveedores[Código],0)))</f>
        <v/>
      </c>
      <c r="C543" s="14" t="str">
        <f>IF(A543="","",INDEX(proveedores[Material],MATCH(A543,proveedores[Código],0)))</f>
        <v/>
      </c>
      <c r="D543" s="15" t="str">
        <f>IF(A543="","",INDEX(proveedores[Perfil],MATCH(A543,proveedores[Código],0)))</f>
        <v/>
      </c>
      <c r="E543" s="15" t="str">
        <f>IF(A543="","",IFERROR(INDEX(proveedores[Nivel de criticidad],MATCH(A543,proveedores[Código],0)),""))</f>
        <v/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5">
        <f t="shared" si="22"/>
        <v>100</v>
      </c>
      <c r="V543" s="12" t="str">
        <f t="shared" si="23"/>
        <v>Clase A++</v>
      </c>
    </row>
    <row r="544" spans="1:22" x14ac:dyDescent="0.2">
      <c r="A544" s="13"/>
      <c r="B544" s="14" t="str">
        <f>IF(A544="","",INDEX(proveedores[Proveedor],MATCH(A544,proveedores[Código],0)))</f>
        <v/>
      </c>
      <c r="C544" s="14" t="str">
        <f>IF(A544="","",INDEX(proveedores[Material],MATCH(A544,proveedores[Código],0)))</f>
        <v/>
      </c>
      <c r="D544" s="15" t="str">
        <f>IF(A544="","",INDEX(proveedores[Perfil],MATCH(A544,proveedores[Código],0)))</f>
        <v/>
      </c>
      <c r="E544" s="15" t="str">
        <f>IF(A544="","",IFERROR(INDEX(proveedores[Nivel de criticidad],MATCH(A544,proveedores[Código],0)),""))</f>
        <v/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5">
        <f t="shared" si="22"/>
        <v>100</v>
      </c>
      <c r="V544" s="12" t="str">
        <f t="shared" si="23"/>
        <v>Clase A++</v>
      </c>
    </row>
    <row r="545" spans="1:22" x14ac:dyDescent="0.2">
      <c r="A545" s="13"/>
      <c r="B545" s="14" t="str">
        <f>IF(A545="","",INDEX(proveedores[Proveedor],MATCH(A545,proveedores[Código],0)))</f>
        <v/>
      </c>
      <c r="C545" s="14" t="str">
        <f>IF(A545="","",INDEX(proveedores[Material],MATCH(A545,proveedores[Código],0)))</f>
        <v/>
      </c>
      <c r="D545" s="15" t="str">
        <f>IF(A545="","",INDEX(proveedores[Perfil],MATCH(A545,proveedores[Código],0)))</f>
        <v/>
      </c>
      <c r="E545" s="15" t="str">
        <f>IF(A545="","",IFERROR(INDEX(proveedores[Nivel de criticidad],MATCH(A545,proveedores[Código],0)),""))</f>
        <v/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5">
        <f t="shared" si="22"/>
        <v>100</v>
      </c>
      <c r="V545" s="12" t="str">
        <f t="shared" si="23"/>
        <v>Clase A++</v>
      </c>
    </row>
    <row r="546" spans="1:22" x14ac:dyDescent="0.2">
      <c r="A546" s="13"/>
      <c r="B546" s="14" t="str">
        <f>IF(A546="","",INDEX(proveedores[Proveedor],MATCH(A546,proveedores[Código],0)))</f>
        <v/>
      </c>
      <c r="C546" s="14" t="str">
        <f>IF(A546="","",INDEX(proveedores[Material],MATCH(A546,proveedores[Código],0)))</f>
        <v/>
      </c>
      <c r="D546" s="15" t="str">
        <f>IF(A546="","",INDEX(proveedores[Perfil],MATCH(A546,proveedores[Código],0)))</f>
        <v/>
      </c>
      <c r="E546" s="15" t="str">
        <f>IF(A546="","",IFERROR(INDEX(proveedores[Nivel de criticidad],MATCH(A546,proveedores[Código],0)),""))</f>
        <v/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5">
        <f t="shared" si="22"/>
        <v>100</v>
      </c>
      <c r="V546" s="12" t="str">
        <f t="shared" si="23"/>
        <v>Clase A++</v>
      </c>
    </row>
    <row r="547" spans="1:22" x14ac:dyDescent="0.2">
      <c r="A547" s="13"/>
      <c r="B547" s="14" t="str">
        <f>IF(A547="","",INDEX(proveedores[Proveedor],MATCH(A547,proveedores[Código],0)))</f>
        <v/>
      </c>
      <c r="C547" s="14" t="str">
        <f>IF(A547="","",INDEX(proveedores[Material],MATCH(A547,proveedores[Código],0)))</f>
        <v/>
      </c>
      <c r="D547" s="15" t="str">
        <f>IF(A547="","",INDEX(proveedores[Perfil],MATCH(A547,proveedores[Código],0)))</f>
        <v/>
      </c>
      <c r="E547" s="15" t="str">
        <f>IF(A547="","",IFERROR(INDEX(proveedores[Nivel de criticidad],MATCH(A547,proveedores[Código],0)),""))</f>
        <v/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5">
        <f t="shared" si="22"/>
        <v>100</v>
      </c>
      <c r="V547" s="12" t="str">
        <f t="shared" si="23"/>
        <v>Clase A++</v>
      </c>
    </row>
    <row r="548" spans="1:22" x14ac:dyDescent="0.2">
      <c r="A548" s="13"/>
      <c r="B548" s="14" t="str">
        <f>IF(A548="","",INDEX(proveedores[Proveedor],MATCH(A548,proveedores[Código],0)))</f>
        <v/>
      </c>
      <c r="C548" s="14" t="str">
        <f>IF(A548="","",INDEX(proveedores[Material],MATCH(A548,proveedores[Código],0)))</f>
        <v/>
      </c>
      <c r="D548" s="15" t="str">
        <f>IF(A548="","",INDEX(proveedores[Perfil],MATCH(A548,proveedores[Código],0)))</f>
        <v/>
      </c>
      <c r="E548" s="15" t="str">
        <f>IF(A548="","",IFERROR(INDEX(proveedores[Nivel de criticidad],MATCH(A548,proveedores[Código],0)),""))</f>
        <v/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5">
        <f t="shared" si="22"/>
        <v>100</v>
      </c>
      <c r="V548" s="12" t="str">
        <f t="shared" si="23"/>
        <v>Clase A++</v>
      </c>
    </row>
    <row r="549" spans="1:22" x14ac:dyDescent="0.2">
      <c r="A549" s="13"/>
      <c r="B549" s="14" t="str">
        <f>IF(A549="","",INDEX(proveedores[Proveedor],MATCH(A549,proveedores[Código],0)))</f>
        <v/>
      </c>
      <c r="C549" s="14" t="str">
        <f>IF(A549="","",INDEX(proveedores[Material],MATCH(A549,proveedores[Código],0)))</f>
        <v/>
      </c>
      <c r="D549" s="15" t="str">
        <f>IF(A549="","",INDEX(proveedores[Perfil],MATCH(A549,proveedores[Código],0)))</f>
        <v/>
      </c>
      <c r="E549" s="15" t="str">
        <f>IF(A549="","",IFERROR(INDEX(proveedores[Nivel de criticidad],MATCH(A549,proveedores[Código],0)),""))</f>
        <v/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5">
        <f t="shared" si="22"/>
        <v>100</v>
      </c>
      <c r="V549" s="12" t="str">
        <f t="shared" si="23"/>
        <v>Clase A++</v>
      </c>
    </row>
    <row r="550" spans="1:22" x14ac:dyDescent="0.2">
      <c r="A550" s="13"/>
      <c r="B550" s="14" t="str">
        <f>IF(A550="","",INDEX(proveedores[Proveedor],MATCH(A550,proveedores[Código],0)))</f>
        <v/>
      </c>
      <c r="C550" s="14" t="str">
        <f>IF(A550="","",INDEX(proveedores[Material],MATCH(A550,proveedores[Código],0)))</f>
        <v/>
      </c>
      <c r="D550" s="15" t="str">
        <f>IF(A550="","",INDEX(proveedores[Perfil],MATCH(A550,proveedores[Código],0)))</f>
        <v/>
      </c>
      <c r="E550" s="15" t="str">
        <f>IF(A550="","",IFERROR(INDEX(proveedores[Nivel de criticidad],MATCH(A550,proveedores[Código],0)),""))</f>
        <v/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5">
        <f t="shared" si="22"/>
        <v>100</v>
      </c>
      <c r="V550" s="12" t="str">
        <f t="shared" si="23"/>
        <v>Clase A++</v>
      </c>
    </row>
    <row r="551" spans="1:22" x14ac:dyDescent="0.2">
      <c r="A551" s="13"/>
      <c r="B551" s="14" t="str">
        <f>IF(A551="","",INDEX(proveedores[Proveedor],MATCH(A551,proveedores[Código],0)))</f>
        <v/>
      </c>
      <c r="C551" s="14" t="str">
        <f>IF(A551="","",INDEX(proveedores[Material],MATCH(A551,proveedores[Código],0)))</f>
        <v/>
      </c>
      <c r="D551" s="15" t="str">
        <f>IF(A551="","",INDEX(proveedores[Perfil],MATCH(A551,proveedores[Código],0)))</f>
        <v/>
      </c>
      <c r="E551" s="15" t="str">
        <f>IF(A551="","",IFERROR(INDEX(proveedores[Nivel de criticidad],MATCH(A551,proveedores[Código],0)),""))</f>
        <v/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5">
        <f t="shared" si="22"/>
        <v>100</v>
      </c>
      <c r="V551" s="12" t="str">
        <f t="shared" si="23"/>
        <v>Clase A++</v>
      </c>
    </row>
    <row r="552" spans="1:22" x14ac:dyDescent="0.2">
      <c r="A552" s="13"/>
      <c r="B552" s="14" t="str">
        <f>IF(A552="","",INDEX(proveedores[Proveedor],MATCH(A552,proveedores[Código],0)))</f>
        <v/>
      </c>
      <c r="C552" s="14" t="str">
        <f>IF(A552="","",INDEX(proveedores[Material],MATCH(A552,proveedores[Código],0)))</f>
        <v/>
      </c>
      <c r="D552" s="15" t="str">
        <f>IF(A552="","",INDEX(proveedores[Perfil],MATCH(A552,proveedores[Código],0)))</f>
        <v/>
      </c>
      <c r="E552" s="15" t="str">
        <f>IF(A552="","",IFERROR(INDEX(proveedores[Nivel de criticidad],MATCH(A552,proveedores[Código],0)),""))</f>
        <v/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5">
        <f t="shared" si="22"/>
        <v>100</v>
      </c>
      <c r="V552" s="12" t="str">
        <f t="shared" si="23"/>
        <v>Clase A++</v>
      </c>
    </row>
    <row r="553" spans="1:22" x14ac:dyDescent="0.2">
      <c r="A553" s="13"/>
      <c r="B553" s="14" t="str">
        <f>IF(A553="","",INDEX(proveedores[Proveedor],MATCH(A553,proveedores[Código],0)))</f>
        <v/>
      </c>
      <c r="C553" s="14" t="str">
        <f>IF(A553="","",INDEX(proveedores[Material],MATCH(A553,proveedores[Código],0)))</f>
        <v/>
      </c>
      <c r="D553" s="15" t="str">
        <f>IF(A553="","",INDEX(proveedores[Perfil],MATCH(A553,proveedores[Código],0)))</f>
        <v/>
      </c>
      <c r="E553" s="15" t="str">
        <f>IF(A553="","",IFERROR(INDEX(proveedores[Nivel de criticidad],MATCH(A553,proveedores[Código],0)),""))</f>
        <v/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5">
        <f t="shared" si="22"/>
        <v>100</v>
      </c>
      <c r="V553" s="12" t="str">
        <f t="shared" si="23"/>
        <v>Clase A++</v>
      </c>
    </row>
    <row r="554" spans="1:22" x14ac:dyDescent="0.2">
      <c r="A554" s="13"/>
      <c r="B554" s="14" t="str">
        <f>IF(A554="","",INDEX(proveedores[Proveedor],MATCH(A554,proveedores[Código],0)))</f>
        <v/>
      </c>
      <c r="C554" s="14" t="str">
        <f>IF(A554="","",INDEX(proveedores[Material],MATCH(A554,proveedores[Código],0)))</f>
        <v/>
      </c>
      <c r="D554" s="15" t="str">
        <f>IF(A554="","",INDEX(proveedores[Perfil],MATCH(A554,proveedores[Código],0)))</f>
        <v/>
      </c>
      <c r="E554" s="15" t="str">
        <f>IF(A554="","",IFERROR(INDEX(proveedores[Nivel de criticidad],MATCH(A554,proveedores[Código],0)),""))</f>
        <v/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5">
        <f t="shared" si="22"/>
        <v>100</v>
      </c>
      <c r="V554" s="12" t="str">
        <f t="shared" si="23"/>
        <v>Clase A++</v>
      </c>
    </row>
    <row r="555" spans="1:22" x14ac:dyDescent="0.2">
      <c r="A555" s="13"/>
      <c r="B555" s="14" t="str">
        <f>IF(A555="","",INDEX(proveedores[Proveedor],MATCH(A555,proveedores[Código],0)))</f>
        <v/>
      </c>
      <c r="C555" s="14" t="str">
        <f>IF(A555="","",INDEX(proveedores[Material],MATCH(A555,proveedores[Código],0)))</f>
        <v/>
      </c>
      <c r="D555" s="15" t="str">
        <f>IF(A555="","",INDEX(proveedores[Perfil],MATCH(A555,proveedores[Código],0)))</f>
        <v/>
      </c>
      <c r="E555" s="15" t="str">
        <f>IF(A555="","",IFERROR(INDEX(proveedores[Nivel de criticidad],MATCH(A555,proveedores[Código],0)),""))</f>
        <v/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5">
        <f t="shared" si="22"/>
        <v>100</v>
      </c>
      <c r="V555" s="12" t="str">
        <f t="shared" si="23"/>
        <v>Clase A++</v>
      </c>
    </row>
    <row r="556" spans="1:22" x14ac:dyDescent="0.2">
      <c r="A556" s="13"/>
      <c r="B556" s="14" t="str">
        <f>IF(A556="","",INDEX(proveedores[Proveedor],MATCH(A556,proveedores[Código],0)))</f>
        <v/>
      </c>
      <c r="C556" s="14" t="str">
        <f>IF(A556="","",INDEX(proveedores[Material],MATCH(A556,proveedores[Código],0)))</f>
        <v/>
      </c>
      <c r="D556" s="15" t="str">
        <f>IF(A556="","",INDEX(proveedores[Perfil],MATCH(A556,proveedores[Código],0)))</f>
        <v/>
      </c>
      <c r="E556" s="15" t="str">
        <f>IF(A556="","",IFERROR(INDEX(proveedores[Nivel de criticidad],MATCH(A556,proveedores[Código],0)),""))</f>
        <v/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5">
        <f t="shared" si="22"/>
        <v>100</v>
      </c>
      <c r="V556" s="12" t="str">
        <f t="shared" si="23"/>
        <v>Clase A++</v>
      </c>
    </row>
    <row r="557" spans="1:22" x14ac:dyDescent="0.2">
      <c r="A557" s="13"/>
      <c r="B557" s="14" t="str">
        <f>IF(A557="","",INDEX(proveedores[Proveedor],MATCH(A557,proveedores[Código],0)))</f>
        <v/>
      </c>
      <c r="C557" s="14" t="str">
        <f>IF(A557="","",INDEX(proveedores[Material],MATCH(A557,proveedores[Código],0)))</f>
        <v/>
      </c>
      <c r="D557" s="15" t="str">
        <f>IF(A557="","",INDEX(proveedores[Perfil],MATCH(A557,proveedores[Código],0)))</f>
        <v/>
      </c>
      <c r="E557" s="15" t="str">
        <f>IF(A557="","",IFERROR(INDEX(proveedores[Nivel de criticidad],MATCH(A557,proveedores[Código],0)),""))</f>
        <v/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5">
        <f t="shared" si="22"/>
        <v>100</v>
      </c>
      <c r="V557" s="12" t="str">
        <f t="shared" si="23"/>
        <v>Clase A++</v>
      </c>
    </row>
    <row r="558" spans="1:22" x14ac:dyDescent="0.2">
      <c r="A558" s="13"/>
      <c r="B558" s="14" t="str">
        <f>IF(A558="","",INDEX(proveedores[Proveedor],MATCH(A558,proveedores[Código],0)))</f>
        <v/>
      </c>
      <c r="C558" s="14" t="str">
        <f>IF(A558="","",INDEX(proveedores[Material],MATCH(A558,proveedores[Código],0)))</f>
        <v/>
      </c>
      <c r="D558" s="15" t="str">
        <f>IF(A558="","",INDEX(proveedores[Perfil],MATCH(A558,proveedores[Código],0)))</f>
        <v/>
      </c>
      <c r="E558" s="15" t="str">
        <f>IF(A558="","",IFERROR(INDEX(proveedores[Nivel de criticidad],MATCH(A558,proveedores[Código],0)),""))</f>
        <v/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5">
        <f t="shared" si="22"/>
        <v>100</v>
      </c>
      <c r="V558" s="12" t="str">
        <f t="shared" si="23"/>
        <v>Clase A++</v>
      </c>
    </row>
    <row r="559" spans="1:22" x14ac:dyDescent="0.2">
      <c r="A559" s="13"/>
      <c r="B559" s="14" t="str">
        <f>IF(A559="","",INDEX(proveedores[Proveedor],MATCH(A559,proveedores[Código],0)))</f>
        <v/>
      </c>
      <c r="C559" s="14" t="str">
        <f>IF(A559="","",INDEX(proveedores[Material],MATCH(A559,proveedores[Código],0)))</f>
        <v/>
      </c>
      <c r="D559" s="15" t="str">
        <f>IF(A559="","",INDEX(proveedores[Perfil],MATCH(A559,proveedores[Código],0)))</f>
        <v/>
      </c>
      <c r="E559" s="15" t="str">
        <f>IF(A559="","",IFERROR(INDEX(proveedores[Nivel de criticidad],MATCH(A559,proveedores[Código],0)),""))</f>
        <v/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5">
        <f t="shared" si="22"/>
        <v>100</v>
      </c>
      <c r="V559" s="12" t="str">
        <f t="shared" si="23"/>
        <v>Clase A++</v>
      </c>
    </row>
    <row r="560" spans="1:22" x14ac:dyDescent="0.2">
      <c r="A560" s="13"/>
      <c r="B560" s="14" t="str">
        <f>IF(A560="","",INDEX(proveedores[Proveedor],MATCH(A560,proveedores[Código],0)))</f>
        <v/>
      </c>
      <c r="C560" s="14" t="str">
        <f>IF(A560="","",INDEX(proveedores[Material],MATCH(A560,proveedores[Código],0)))</f>
        <v/>
      </c>
      <c r="D560" s="15" t="str">
        <f>IF(A560="","",INDEX(proveedores[Perfil],MATCH(A560,proveedores[Código],0)))</f>
        <v/>
      </c>
      <c r="E560" s="15" t="str">
        <f>IF(A560="","",IFERROR(INDEX(proveedores[Nivel de criticidad],MATCH(A560,proveedores[Código],0)),""))</f>
        <v/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5">
        <f t="shared" si="22"/>
        <v>100</v>
      </c>
      <c r="V560" s="12" t="str">
        <f t="shared" si="23"/>
        <v>Clase A++</v>
      </c>
    </row>
    <row r="561" spans="1:22" x14ac:dyDescent="0.2">
      <c r="A561" s="13"/>
      <c r="B561" s="14" t="str">
        <f>IF(A561="","",INDEX(proveedores[Proveedor],MATCH(A561,proveedores[Código],0)))</f>
        <v/>
      </c>
      <c r="C561" s="14" t="str">
        <f>IF(A561="","",INDEX(proveedores[Material],MATCH(A561,proveedores[Código],0)))</f>
        <v/>
      </c>
      <c r="D561" s="15" t="str">
        <f>IF(A561="","",INDEX(proveedores[Perfil],MATCH(A561,proveedores[Código],0)))</f>
        <v/>
      </c>
      <c r="E561" s="15" t="str">
        <f>IF(A561="","",IFERROR(INDEX(proveedores[Nivel de criticidad],MATCH(A561,proveedores[Código],0)),""))</f>
        <v/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5">
        <f t="shared" si="22"/>
        <v>100</v>
      </c>
      <c r="V561" s="12" t="str">
        <f t="shared" si="23"/>
        <v>Clase A++</v>
      </c>
    </row>
    <row r="562" spans="1:22" x14ac:dyDescent="0.2">
      <c r="A562" s="13"/>
      <c r="B562" s="14" t="str">
        <f>IF(A562="","",INDEX(proveedores[Proveedor],MATCH(A562,proveedores[Código],0)))</f>
        <v/>
      </c>
      <c r="C562" s="14" t="str">
        <f>IF(A562="","",INDEX(proveedores[Material],MATCH(A562,proveedores[Código],0)))</f>
        <v/>
      </c>
      <c r="D562" s="15" t="str">
        <f>IF(A562="","",INDEX(proveedores[Perfil],MATCH(A562,proveedores[Código],0)))</f>
        <v/>
      </c>
      <c r="E562" s="15" t="str">
        <f>IF(A562="","",IFERROR(INDEX(proveedores[Nivel de criticidad],MATCH(A562,proveedores[Código],0)),""))</f>
        <v/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5">
        <f t="shared" si="22"/>
        <v>100</v>
      </c>
      <c r="V562" s="12" t="str">
        <f t="shared" si="23"/>
        <v>Clase A++</v>
      </c>
    </row>
    <row r="563" spans="1:22" x14ac:dyDescent="0.2">
      <c r="A563" s="13"/>
      <c r="B563" s="14" t="str">
        <f>IF(A563="","",INDEX(proveedores[Proveedor],MATCH(A563,proveedores[Código],0)))</f>
        <v/>
      </c>
      <c r="C563" s="14" t="str">
        <f>IF(A563="","",INDEX(proveedores[Material],MATCH(A563,proveedores[Código],0)))</f>
        <v/>
      </c>
      <c r="D563" s="15" t="str">
        <f>IF(A563="","",INDEX(proveedores[Perfil],MATCH(A563,proveedores[Código],0)))</f>
        <v/>
      </c>
      <c r="E563" s="15" t="str">
        <f>IF(A563="","",IFERROR(INDEX(proveedores[Nivel de criticidad],MATCH(A563,proveedores[Código],0)),""))</f>
        <v/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5">
        <f t="shared" si="22"/>
        <v>100</v>
      </c>
      <c r="V563" s="12" t="str">
        <f t="shared" si="23"/>
        <v>Clase A++</v>
      </c>
    </row>
    <row r="564" spans="1:22" x14ac:dyDescent="0.2">
      <c r="A564" s="13"/>
      <c r="B564" s="14" t="str">
        <f>IF(A564="","",INDEX(proveedores[Proveedor],MATCH(A564,proveedores[Código],0)))</f>
        <v/>
      </c>
      <c r="C564" s="14" t="str">
        <f>IF(A564="","",INDEX(proveedores[Material],MATCH(A564,proveedores[Código],0)))</f>
        <v/>
      </c>
      <c r="D564" s="15" t="str">
        <f>IF(A564="","",INDEX(proveedores[Perfil],MATCH(A564,proveedores[Código],0)))</f>
        <v/>
      </c>
      <c r="E564" s="15" t="str">
        <f>IF(A564="","",IFERROR(INDEX(proveedores[Nivel de criticidad],MATCH(A564,proveedores[Código],0)),""))</f>
        <v/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5">
        <f t="shared" si="22"/>
        <v>100</v>
      </c>
      <c r="V564" s="12" t="str">
        <f t="shared" si="23"/>
        <v>Clase A++</v>
      </c>
    </row>
    <row r="565" spans="1:22" x14ac:dyDescent="0.2">
      <c r="A565" s="13"/>
      <c r="B565" s="14" t="str">
        <f>IF(A565="","",INDEX(proveedores[Proveedor],MATCH(A565,proveedores[Código],0)))</f>
        <v/>
      </c>
      <c r="C565" s="14" t="str">
        <f>IF(A565="","",INDEX(proveedores[Material],MATCH(A565,proveedores[Código],0)))</f>
        <v/>
      </c>
      <c r="D565" s="15" t="str">
        <f>IF(A565="","",INDEX(proveedores[Perfil],MATCH(A565,proveedores[Código],0)))</f>
        <v/>
      </c>
      <c r="E565" s="15" t="str">
        <f>IF(A565="","",IFERROR(INDEX(proveedores[Nivel de criticidad],MATCH(A565,proveedores[Código],0)),""))</f>
        <v/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5">
        <f t="shared" si="22"/>
        <v>100</v>
      </c>
      <c r="V565" s="12" t="str">
        <f t="shared" si="23"/>
        <v>Clase A++</v>
      </c>
    </row>
    <row r="566" spans="1:22" x14ac:dyDescent="0.2">
      <c r="A566" s="13"/>
      <c r="B566" s="14" t="str">
        <f>IF(A566="","",INDEX(proveedores[Proveedor],MATCH(A566,proveedores[Código],0)))</f>
        <v/>
      </c>
      <c r="C566" s="14" t="str">
        <f>IF(A566="","",INDEX(proveedores[Material],MATCH(A566,proveedores[Código],0)))</f>
        <v/>
      </c>
      <c r="D566" s="15" t="str">
        <f>IF(A566="","",INDEX(proveedores[Perfil],MATCH(A566,proveedores[Código],0)))</f>
        <v/>
      </c>
      <c r="E566" s="15" t="str">
        <f>IF(A566="","",IFERROR(INDEX(proveedores[Nivel de criticidad],MATCH(A566,proveedores[Código],0)),""))</f>
        <v/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5">
        <f t="shared" si="22"/>
        <v>100</v>
      </c>
      <c r="V566" s="12" t="str">
        <f t="shared" si="23"/>
        <v>Clase A++</v>
      </c>
    </row>
    <row r="567" spans="1:22" x14ac:dyDescent="0.2">
      <c r="A567" s="13"/>
      <c r="B567" s="14" t="str">
        <f>IF(A567="","",INDEX(proveedores[Proveedor],MATCH(A567,proveedores[Código],0)))</f>
        <v/>
      </c>
      <c r="C567" s="14" t="str">
        <f>IF(A567="","",INDEX(proveedores[Material],MATCH(A567,proveedores[Código],0)))</f>
        <v/>
      </c>
      <c r="D567" s="15" t="str">
        <f>IF(A567="","",INDEX(proveedores[Perfil],MATCH(A567,proveedores[Código],0)))</f>
        <v/>
      </c>
      <c r="E567" s="15" t="str">
        <f>IF(A567="","",IFERROR(INDEX(proveedores[Nivel de criticidad],MATCH(A567,proveedores[Código],0)),""))</f>
        <v/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5">
        <f t="shared" si="22"/>
        <v>100</v>
      </c>
      <c r="V567" s="12" t="str">
        <f t="shared" si="23"/>
        <v>Clase A++</v>
      </c>
    </row>
    <row r="568" spans="1:22" x14ac:dyDescent="0.2">
      <c r="A568" s="13"/>
      <c r="B568" s="14" t="str">
        <f>IF(A568="","",INDEX(proveedores[Proveedor],MATCH(A568,proveedores[Código],0)))</f>
        <v/>
      </c>
      <c r="C568" s="14" t="str">
        <f>IF(A568="","",INDEX(proveedores[Material],MATCH(A568,proveedores[Código],0)))</f>
        <v/>
      </c>
      <c r="D568" s="15" t="str">
        <f>IF(A568="","",INDEX(proveedores[Perfil],MATCH(A568,proveedores[Código],0)))</f>
        <v/>
      </c>
      <c r="E568" s="15" t="str">
        <f>IF(A568="","",IFERROR(INDEX(proveedores[Nivel de criticidad],MATCH(A568,proveedores[Código],0)),""))</f>
        <v/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5">
        <f t="shared" si="22"/>
        <v>100</v>
      </c>
      <c r="V568" s="12" t="str">
        <f t="shared" si="23"/>
        <v>Clase A++</v>
      </c>
    </row>
    <row r="569" spans="1:22" x14ac:dyDescent="0.2">
      <c r="A569" s="13"/>
      <c r="B569" s="14" t="str">
        <f>IF(A569="","",INDEX(proveedores[Proveedor],MATCH(A569,proveedores[Código],0)))</f>
        <v/>
      </c>
      <c r="C569" s="14" t="str">
        <f>IF(A569="","",INDEX(proveedores[Material],MATCH(A569,proveedores[Código],0)))</f>
        <v/>
      </c>
      <c r="D569" s="15" t="str">
        <f>IF(A569="","",INDEX(proveedores[Perfil],MATCH(A569,proveedores[Código],0)))</f>
        <v/>
      </c>
      <c r="E569" s="15" t="str">
        <f>IF(A569="","",IFERROR(INDEX(proveedores[Nivel de criticidad],MATCH(A569,proveedores[Código],0)),""))</f>
        <v/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5">
        <f t="shared" si="22"/>
        <v>100</v>
      </c>
      <c r="V569" s="12" t="str">
        <f t="shared" si="23"/>
        <v>Clase A++</v>
      </c>
    </row>
    <row r="570" spans="1:22" x14ac:dyDescent="0.2">
      <c r="A570" s="13"/>
      <c r="B570" s="14" t="str">
        <f>IF(A570="","",INDEX(proveedores[Proveedor],MATCH(A570,proveedores[Código],0)))</f>
        <v/>
      </c>
      <c r="C570" s="14" t="str">
        <f>IF(A570="","",INDEX(proveedores[Material],MATCH(A570,proveedores[Código],0)))</f>
        <v/>
      </c>
      <c r="D570" s="15" t="str">
        <f>IF(A570="","",INDEX(proveedores[Perfil],MATCH(A570,proveedores[Código],0)))</f>
        <v/>
      </c>
      <c r="E570" s="15" t="str">
        <f>IF(A570="","",IFERROR(INDEX(proveedores[Nivel de criticidad],MATCH(A570,proveedores[Código],0)),""))</f>
        <v/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5">
        <f t="shared" si="22"/>
        <v>100</v>
      </c>
      <c r="V570" s="12" t="str">
        <f t="shared" si="23"/>
        <v>Clase A++</v>
      </c>
    </row>
    <row r="571" spans="1:22" x14ac:dyDescent="0.2">
      <c r="A571" s="13"/>
      <c r="B571" s="14" t="str">
        <f>IF(A571="","",INDEX(proveedores[Proveedor],MATCH(A571,proveedores[Código],0)))</f>
        <v/>
      </c>
      <c r="C571" s="14" t="str">
        <f>IF(A571="","",INDEX(proveedores[Material],MATCH(A571,proveedores[Código],0)))</f>
        <v/>
      </c>
      <c r="D571" s="15" t="str">
        <f>IF(A571="","",INDEX(proveedores[Perfil],MATCH(A571,proveedores[Código],0)))</f>
        <v/>
      </c>
      <c r="E571" s="15" t="str">
        <f>IF(A571="","",IFERROR(INDEX(proveedores[Nivel de criticidad],MATCH(A571,proveedores[Código],0)),""))</f>
        <v/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5">
        <f t="shared" si="22"/>
        <v>100</v>
      </c>
      <c r="V571" s="12" t="str">
        <f t="shared" si="23"/>
        <v>Clase A++</v>
      </c>
    </row>
    <row r="572" spans="1:22" x14ac:dyDescent="0.2">
      <c r="A572" s="13"/>
      <c r="B572" s="14" t="str">
        <f>IF(A572="","",INDEX(proveedores[Proveedor],MATCH(A572,proveedores[Código],0)))</f>
        <v/>
      </c>
      <c r="C572" s="14" t="str">
        <f>IF(A572="","",INDEX(proveedores[Material],MATCH(A572,proveedores[Código],0)))</f>
        <v/>
      </c>
      <c r="D572" s="15" t="str">
        <f>IF(A572="","",INDEX(proveedores[Perfil],MATCH(A572,proveedores[Código],0)))</f>
        <v/>
      </c>
      <c r="E572" s="15" t="str">
        <f>IF(A572="","",IFERROR(INDEX(proveedores[Nivel de criticidad],MATCH(A572,proveedores[Código],0)),""))</f>
        <v/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5">
        <f t="shared" si="22"/>
        <v>100</v>
      </c>
      <c r="V572" s="12" t="str">
        <f t="shared" si="23"/>
        <v>Clase A++</v>
      </c>
    </row>
    <row r="573" spans="1:22" x14ac:dyDescent="0.2">
      <c r="A573" s="13"/>
      <c r="B573" s="14" t="str">
        <f>IF(A573="","",INDEX(proveedores[Proveedor],MATCH(A573,proveedores[Código],0)))</f>
        <v/>
      </c>
      <c r="C573" s="14" t="str">
        <f>IF(A573="","",INDEX(proveedores[Material],MATCH(A573,proveedores[Código],0)))</f>
        <v/>
      </c>
      <c r="D573" s="15" t="str">
        <f>IF(A573="","",INDEX(proveedores[Perfil],MATCH(A573,proveedores[Código],0)))</f>
        <v/>
      </c>
      <c r="E573" s="15" t="str">
        <f>IF(A573="","",IFERROR(INDEX(proveedores[Nivel de criticidad],MATCH(A573,proveedores[Código],0)),""))</f>
        <v/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5">
        <f t="shared" si="22"/>
        <v>100</v>
      </c>
      <c r="V573" s="12" t="str">
        <f t="shared" si="23"/>
        <v>Clase A++</v>
      </c>
    </row>
    <row r="574" spans="1:22" x14ac:dyDescent="0.2">
      <c r="A574" s="13"/>
      <c r="B574" s="14" t="str">
        <f>IF(A574="","",INDEX(proveedores[Proveedor],MATCH(A574,proveedores[Código],0)))</f>
        <v/>
      </c>
      <c r="C574" s="14" t="str">
        <f>IF(A574="","",INDEX(proveedores[Material],MATCH(A574,proveedores[Código],0)))</f>
        <v/>
      </c>
      <c r="D574" s="15" t="str">
        <f>IF(A574="","",INDEX(proveedores[Perfil],MATCH(A574,proveedores[Código],0)))</f>
        <v/>
      </c>
      <c r="E574" s="15" t="str">
        <f>IF(A574="","",IFERROR(INDEX(proveedores[Nivel de criticidad],MATCH(A574,proveedores[Código],0)),""))</f>
        <v/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5">
        <f t="shared" si="22"/>
        <v>100</v>
      </c>
      <c r="V574" s="12" t="str">
        <f t="shared" si="23"/>
        <v>Clase A++</v>
      </c>
    </row>
    <row r="575" spans="1:22" x14ac:dyDescent="0.2">
      <c r="A575" s="13"/>
      <c r="B575" s="14" t="str">
        <f>IF(A575="","",INDEX(proveedores[Proveedor],MATCH(A575,proveedores[Código],0)))</f>
        <v/>
      </c>
      <c r="C575" s="14" t="str">
        <f>IF(A575="","",INDEX(proveedores[Material],MATCH(A575,proveedores[Código],0)))</f>
        <v/>
      </c>
      <c r="D575" s="15" t="str">
        <f>IF(A575="","",INDEX(proveedores[Perfil],MATCH(A575,proveedores[Código],0)))</f>
        <v/>
      </c>
      <c r="E575" s="15" t="str">
        <f>IF(A575="","",IFERROR(INDEX(proveedores[Nivel de criticidad],MATCH(A575,proveedores[Código],0)),""))</f>
        <v/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5">
        <f t="shared" si="22"/>
        <v>100</v>
      </c>
      <c r="V575" s="12" t="str">
        <f t="shared" si="23"/>
        <v>Clase A++</v>
      </c>
    </row>
    <row r="576" spans="1:22" x14ac:dyDescent="0.2">
      <c r="A576" s="13"/>
      <c r="B576" s="14" t="str">
        <f>IF(A576="","",INDEX(proveedores[Proveedor],MATCH(A576,proveedores[Código],0)))</f>
        <v/>
      </c>
      <c r="C576" s="14" t="str">
        <f>IF(A576="","",INDEX(proveedores[Material],MATCH(A576,proveedores[Código],0)))</f>
        <v/>
      </c>
      <c r="D576" s="15" t="str">
        <f>IF(A576="","",INDEX(proveedores[Perfil],MATCH(A576,proveedores[Código],0)))</f>
        <v/>
      </c>
      <c r="E576" s="15" t="str">
        <f>IF(A576="","",IFERROR(INDEX(proveedores[Nivel de criticidad],MATCH(A576,proveedores[Código],0)),""))</f>
        <v/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5">
        <f t="shared" si="22"/>
        <v>100</v>
      </c>
      <c r="V576" s="12" t="str">
        <f t="shared" si="23"/>
        <v>Clase A++</v>
      </c>
    </row>
    <row r="577" spans="1:22" x14ac:dyDescent="0.2">
      <c r="A577" s="13"/>
      <c r="B577" s="14" t="str">
        <f>IF(A577="","",INDEX(proveedores[Proveedor],MATCH(A577,proveedores[Código],0)))</f>
        <v/>
      </c>
      <c r="C577" s="14" t="str">
        <f>IF(A577="","",INDEX(proveedores[Material],MATCH(A577,proveedores[Código],0)))</f>
        <v/>
      </c>
      <c r="D577" s="15" t="str">
        <f>IF(A577="","",INDEX(proveedores[Perfil],MATCH(A577,proveedores[Código],0)))</f>
        <v/>
      </c>
      <c r="E577" s="15" t="str">
        <f>IF(A577="","",IFERROR(INDEX(proveedores[Nivel de criticidad],MATCH(A577,proveedores[Código],0)),""))</f>
        <v/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5">
        <f t="shared" si="22"/>
        <v>100</v>
      </c>
      <c r="V577" s="12" t="str">
        <f t="shared" si="23"/>
        <v>Clase A++</v>
      </c>
    </row>
    <row r="578" spans="1:22" x14ac:dyDescent="0.2">
      <c r="A578" s="13"/>
      <c r="B578" s="14" t="str">
        <f>IF(A578="","",INDEX(proveedores[Proveedor],MATCH(A578,proveedores[Código],0)))</f>
        <v/>
      </c>
      <c r="C578" s="14" t="str">
        <f>IF(A578="","",INDEX(proveedores[Material],MATCH(A578,proveedores[Código],0)))</f>
        <v/>
      </c>
      <c r="D578" s="15" t="str">
        <f>IF(A578="","",INDEX(proveedores[Perfil],MATCH(A578,proveedores[Código],0)))</f>
        <v/>
      </c>
      <c r="E578" s="15" t="str">
        <f>IF(A578="","",IFERROR(INDEX(proveedores[Nivel de criticidad],MATCH(A578,proveedores[Código],0)),""))</f>
        <v/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5">
        <f t="shared" si="22"/>
        <v>100</v>
      </c>
      <c r="V578" s="12" t="str">
        <f t="shared" si="23"/>
        <v>Clase A++</v>
      </c>
    </row>
    <row r="579" spans="1:22" x14ac:dyDescent="0.2">
      <c r="A579" s="13"/>
      <c r="B579" s="14" t="str">
        <f>IF(A579="","",INDEX(proveedores[Proveedor],MATCH(A579,proveedores[Código],0)))</f>
        <v/>
      </c>
      <c r="C579" s="14" t="str">
        <f>IF(A579="","",INDEX(proveedores[Material],MATCH(A579,proveedores[Código],0)))</f>
        <v/>
      </c>
      <c r="D579" s="15" t="str">
        <f>IF(A579="","",INDEX(proveedores[Perfil],MATCH(A579,proveedores[Código],0)))</f>
        <v/>
      </c>
      <c r="E579" s="15" t="str">
        <f>IF(A579="","",IFERROR(INDEX(proveedores[Nivel de criticidad],MATCH(A579,proveedores[Código],0)),""))</f>
        <v/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5">
        <f t="shared" si="22"/>
        <v>100</v>
      </c>
      <c r="V579" s="12" t="str">
        <f t="shared" si="23"/>
        <v>Clase A++</v>
      </c>
    </row>
    <row r="580" spans="1:22" x14ac:dyDescent="0.2">
      <c r="A580" s="13"/>
      <c r="B580" s="14" t="str">
        <f>IF(A580="","",INDEX(proveedores[Proveedor],MATCH(A580,proveedores[Código],0)))</f>
        <v/>
      </c>
      <c r="C580" s="14" t="str">
        <f>IF(A580="","",INDEX(proveedores[Material],MATCH(A580,proveedores[Código],0)))</f>
        <v/>
      </c>
      <c r="D580" s="15" t="str">
        <f>IF(A580="","",INDEX(proveedores[Perfil],MATCH(A580,proveedores[Código],0)))</f>
        <v/>
      </c>
      <c r="E580" s="15" t="str">
        <f>IF(A580="","",IFERROR(INDEX(proveedores[Nivel de criticidad],MATCH(A580,proveedores[Código],0)),""))</f>
        <v/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5">
        <f t="shared" si="22"/>
        <v>100</v>
      </c>
      <c r="V580" s="12" t="str">
        <f t="shared" si="23"/>
        <v>Clase A++</v>
      </c>
    </row>
    <row r="581" spans="1:22" x14ac:dyDescent="0.2">
      <c r="A581" s="13"/>
      <c r="B581" s="14" t="str">
        <f>IF(A581="","",INDEX(proveedores[Proveedor],MATCH(A581,proveedores[Código],0)))</f>
        <v/>
      </c>
      <c r="C581" s="14" t="str">
        <f>IF(A581="","",INDEX(proveedores[Material],MATCH(A581,proveedores[Código],0)))</f>
        <v/>
      </c>
      <c r="D581" s="15" t="str">
        <f>IF(A581="","",INDEX(proveedores[Perfil],MATCH(A581,proveedores[Código],0)))</f>
        <v/>
      </c>
      <c r="E581" s="15" t="str">
        <f>IF(A581="","",IFERROR(INDEX(proveedores[Nivel de criticidad],MATCH(A581,proveedores[Código],0)),""))</f>
        <v/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5">
        <f t="shared" si="22"/>
        <v>100</v>
      </c>
      <c r="V581" s="12" t="str">
        <f t="shared" si="23"/>
        <v>Clase A++</v>
      </c>
    </row>
    <row r="582" spans="1:22" x14ac:dyDescent="0.2">
      <c r="A582" s="13"/>
      <c r="B582" s="14" t="str">
        <f>IF(A582="","",INDEX(proveedores[Proveedor],MATCH(A582,proveedores[Código],0)))</f>
        <v/>
      </c>
      <c r="C582" s="14" t="str">
        <f>IF(A582="","",INDEX(proveedores[Material],MATCH(A582,proveedores[Código],0)))</f>
        <v/>
      </c>
      <c r="D582" s="15" t="str">
        <f>IF(A582="","",INDEX(proveedores[Perfil],MATCH(A582,proveedores[Código],0)))</f>
        <v/>
      </c>
      <c r="E582" s="15" t="str">
        <f>IF(A582="","",IFERROR(INDEX(proveedores[Nivel de criticidad],MATCH(A582,proveedores[Código],0)),""))</f>
        <v/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5">
        <f t="shared" ref="U582:U645" si="24">IF(D582="Internacional", MIN(IF(((F582*10)+(G582*3)+(H582*4)+(I582*5)+(J582*8)+(O582*5)+(P582*2)+IF(L582="N/A",0,(L582*10)+(M582*5)+(N582*3)))&gt;0,98,100), ((MAX(0, 30 - (F582*10) - (G582*3))/30)*45) + ((MAX(0, 25 - (H582*4) - (I582*5) - (J582*8) - (K582*5))/25)*35) + ((MAX(0, 15 - (O582*5) - (P582*2))/15)*20) + (IF(Q582="N/A",0,Q582)*2.5) + (IF(R582="N/A",0,R582)*2.5) + (IF(S582="N/A",0,S582)*2.5) + (IF(T582="N/A",0,T582)*2.5)), IF(D582="Local Insumos", MIN(IF(((F582*10)+(G582*3)+(H582*4)+(I582*5)+(J582*8)+(O582*5)+(P582*2)+IF(L582="N/A",0,(L582*10)+(M582*5)+(N582*3)))&gt;0,98,100), ((MAX(0, 30 - (F582*10) - (G582*3))/30)*35) + ((MAX(0, 25 - (H582*4) - (I582*5) - (J582*8) - (K582*5))/25)*30) + MAX(0, 20 - (L582*10) - (M582*5) - (N582*3)) + MAX(0, 15 - (O582*5) - (P582*2)) + (IF(Q582="N/A",0,Q582)*2.5) + (IF(R582="N/A",0,R582)*2.5) + (IF(S582="N/A",0,S582)*2.5) + (IF(T582="N/A",0,T582)*2.5)), MIN(IF(((F582*10)+(G582*3)+(H582*4)+(I582*5)+(J582*8)+(O582*5)+(P582*2)+IF(L582="N/A",0,(L582*10)+(M582*5)+(N582*3)))&gt;0,98,100), ((MAX(0, 25 - (H582*4) - (I582*5) - (J582*8) - (K582*5))/25)*55) + ((MAX(0, 20 - (L582*10) - (M582*5) - (N582*3))/20)*30) + ((MAX(0, 15 - (O582*5) - (P582*2))/15)*15))))</f>
        <v>100</v>
      </c>
      <c r="V582" s="12" t="str">
        <f t="shared" si="23"/>
        <v>Clase A++</v>
      </c>
    </row>
    <row r="583" spans="1:22" x14ac:dyDescent="0.2">
      <c r="A583" s="13"/>
      <c r="B583" s="14" t="str">
        <f>IF(A583="","",INDEX(proveedores[Proveedor],MATCH(A583,proveedores[Código],0)))</f>
        <v/>
      </c>
      <c r="C583" s="14" t="str">
        <f>IF(A583="","",INDEX(proveedores[Material],MATCH(A583,proveedores[Código],0)))</f>
        <v/>
      </c>
      <c r="D583" s="15" t="str">
        <f>IF(A583="","",INDEX(proveedores[Perfil],MATCH(A583,proveedores[Código],0)))</f>
        <v/>
      </c>
      <c r="E583" s="15" t="str">
        <f>IF(A583="","",IFERROR(INDEX(proveedores[Nivel de criticidad],MATCH(A583,proveedores[Código],0)),""))</f>
        <v/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5">
        <f t="shared" si="24"/>
        <v>100</v>
      </c>
      <c r="V583" s="12" t="str">
        <f t="shared" ref="V583:V646" si="25">IF(U583&gt;=96, "Clase A++", IF(U583&gt;=85, "Clase A", IF(U583&gt;=70, "Clase B", "Clase C")))</f>
        <v>Clase A++</v>
      </c>
    </row>
    <row r="584" spans="1:22" x14ac:dyDescent="0.2">
      <c r="A584" s="13"/>
      <c r="B584" s="14" t="str">
        <f>IF(A584="","",INDEX(proveedores[Proveedor],MATCH(A584,proveedores[Código],0)))</f>
        <v/>
      </c>
      <c r="C584" s="14" t="str">
        <f>IF(A584="","",INDEX(proveedores[Material],MATCH(A584,proveedores[Código],0)))</f>
        <v/>
      </c>
      <c r="D584" s="15" t="str">
        <f>IF(A584="","",INDEX(proveedores[Perfil],MATCH(A584,proveedores[Código],0)))</f>
        <v/>
      </c>
      <c r="E584" s="15" t="str">
        <f>IF(A584="","",IFERROR(INDEX(proveedores[Nivel de criticidad],MATCH(A584,proveedores[Código],0)),""))</f>
        <v/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5">
        <f t="shared" si="24"/>
        <v>100</v>
      </c>
      <c r="V584" s="12" t="str">
        <f t="shared" si="25"/>
        <v>Clase A++</v>
      </c>
    </row>
    <row r="585" spans="1:22" x14ac:dyDescent="0.2">
      <c r="A585" s="13"/>
      <c r="B585" s="14" t="str">
        <f>IF(A585="","",INDEX(proveedores[Proveedor],MATCH(A585,proveedores[Código],0)))</f>
        <v/>
      </c>
      <c r="C585" s="14" t="str">
        <f>IF(A585="","",INDEX(proveedores[Material],MATCH(A585,proveedores[Código],0)))</f>
        <v/>
      </c>
      <c r="D585" s="15" t="str">
        <f>IF(A585="","",INDEX(proveedores[Perfil],MATCH(A585,proveedores[Código],0)))</f>
        <v/>
      </c>
      <c r="E585" s="15" t="str">
        <f>IF(A585="","",IFERROR(INDEX(proveedores[Nivel de criticidad],MATCH(A585,proveedores[Código],0)),""))</f>
        <v/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5">
        <f t="shared" si="24"/>
        <v>100</v>
      </c>
      <c r="V585" s="12" t="str">
        <f t="shared" si="25"/>
        <v>Clase A++</v>
      </c>
    </row>
    <row r="586" spans="1:22" x14ac:dyDescent="0.2">
      <c r="A586" s="13"/>
      <c r="B586" s="14" t="str">
        <f>IF(A586="","",INDEX(proveedores[Proveedor],MATCH(A586,proveedores[Código],0)))</f>
        <v/>
      </c>
      <c r="C586" s="14" t="str">
        <f>IF(A586="","",INDEX(proveedores[Material],MATCH(A586,proveedores[Código],0)))</f>
        <v/>
      </c>
      <c r="D586" s="15" t="str">
        <f>IF(A586="","",INDEX(proveedores[Perfil],MATCH(A586,proveedores[Código],0)))</f>
        <v/>
      </c>
      <c r="E586" s="15" t="str">
        <f>IF(A586="","",IFERROR(INDEX(proveedores[Nivel de criticidad],MATCH(A586,proveedores[Código],0)),""))</f>
        <v/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5">
        <f t="shared" si="24"/>
        <v>100</v>
      </c>
      <c r="V586" s="12" t="str">
        <f t="shared" si="25"/>
        <v>Clase A++</v>
      </c>
    </row>
    <row r="587" spans="1:22" x14ac:dyDescent="0.2">
      <c r="A587" s="13"/>
      <c r="B587" s="14" t="str">
        <f>IF(A587="","",INDEX(proveedores[Proveedor],MATCH(A587,proveedores[Código],0)))</f>
        <v/>
      </c>
      <c r="C587" s="14" t="str">
        <f>IF(A587="","",INDEX(proveedores[Material],MATCH(A587,proveedores[Código],0)))</f>
        <v/>
      </c>
      <c r="D587" s="15" t="str">
        <f>IF(A587="","",INDEX(proveedores[Perfil],MATCH(A587,proveedores[Código],0)))</f>
        <v/>
      </c>
      <c r="E587" s="15" t="str">
        <f>IF(A587="","",IFERROR(INDEX(proveedores[Nivel de criticidad],MATCH(A587,proveedores[Código],0)),""))</f>
        <v/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5">
        <f t="shared" si="24"/>
        <v>100</v>
      </c>
      <c r="V587" s="12" t="str">
        <f t="shared" si="25"/>
        <v>Clase A++</v>
      </c>
    </row>
    <row r="588" spans="1:22" x14ac:dyDescent="0.2">
      <c r="A588" s="13"/>
      <c r="B588" s="14" t="str">
        <f>IF(A588="","",INDEX(proveedores[Proveedor],MATCH(A588,proveedores[Código],0)))</f>
        <v/>
      </c>
      <c r="C588" s="14" t="str">
        <f>IF(A588="","",INDEX(proveedores[Material],MATCH(A588,proveedores[Código],0)))</f>
        <v/>
      </c>
      <c r="D588" s="15" t="str">
        <f>IF(A588="","",INDEX(proveedores[Perfil],MATCH(A588,proveedores[Código],0)))</f>
        <v/>
      </c>
      <c r="E588" s="15" t="str">
        <f>IF(A588="","",IFERROR(INDEX(proveedores[Nivel de criticidad],MATCH(A588,proveedores[Código],0)),""))</f>
        <v/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5">
        <f t="shared" si="24"/>
        <v>100</v>
      </c>
      <c r="V588" s="12" t="str">
        <f t="shared" si="25"/>
        <v>Clase A++</v>
      </c>
    </row>
    <row r="589" spans="1:22" x14ac:dyDescent="0.2">
      <c r="A589" s="13"/>
      <c r="B589" s="14" t="str">
        <f>IF(A589="","",INDEX(proveedores[Proveedor],MATCH(A589,proveedores[Código],0)))</f>
        <v/>
      </c>
      <c r="C589" s="14" t="str">
        <f>IF(A589="","",INDEX(proveedores[Material],MATCH(A589,proveedores[Código],0)))</f>
        <v/>
      </c>
      <c r="D589" s="15" t="str">
        <f>IF(A589="","",INDEX(proveedores[Perfil],MATCH(A589,proveedores[Código],0)))</f>
        <v/>
      </c>
      <c r="E589" s="15" t="str">
        <f>IF(A589="","",IFERROR(INDEX(proveedores[Nivel de criticidad],MATCH(A589,proveedores[Código],0)),""))</f>
        <v/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5">
        <f t="shared" si="24"/>
        <v>100</v>
      </c>
      <c r="V589" s="12" t="str">
        <f t="shared" si="25"/>
        <v>Clase A++</v>
      </c>
    </row>
    <row r="590" spans="1:22" x14ac:dyDescent="0.2">
      <c r="A590" s="13"/>
      <c r="B590" s="14" t="str">
        <f>IF(A590="","",INDEX(proveedores[Proveedor],MATCH(A590,proveedores[Código],0)))</f>
        <v/>
      </c>
      <c r="C590" s="14" t="str">
        <f>IF(A590="","",INDEX(proveedores[Material],MATCH(A590,proveedores[Código],0)))</f>
        <v/>
      </c>
      <c r="D590" s="15" t="str">
        <f>IF(A590="","",INDEX(proveedores[Perfil],MATCH(A590,proveedores[Código],0)))</f>
        <v/>
      </c>
      <c r="E590" s="15" t="str">
        <f>IF(A590="","",IFERROR(INDEX(proveedores[Nivel de criticidad],MATCH(A590,proveedores[Código],0)),""))</f>
        <v/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5">
        <f t="shared" si="24"/>
        <v>100</v>
      </c>
      <c r="V590" s="12" t="str">
        <f t="shared" si="25"/>
        <v>Clase A++</v>
      </c>
    </row>
    <row r="591" spans="1:22" x14ac:dyDescent="0.2">
      <c r="A591" s="13"/>
      <c r="B591" s="14" t="str">
        <f>IF(A591="","",INDEX(proveedores[Proveedor],MATCH(A591,proveedores[Código],0)))</f>
        <v/>
      </c>
      <c r="C591" s="14" t="str">
        <f>IF(A591="","",INDEX(proveedores[Material],MATCH(A591,proveedores[Código],0)))</f>
        <v/>
      </c>
      <c r="D591" s="15" t="str">
        <f>IF(A591="","",INDEX(proveedores[Perfil],MATCH(A591,proveedores[Código],0)))</f>
        <v/>
      </c>
      <c r="E591" s="15" t="str">
        <f>IF(A591="","",IFERROR(INDEX(proveedores[Nivel de criticidad],MATCH(A591,proveedores[Código],0)),""))</f>
        <v/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5">
        <f t="shared" si="24"/>
        <v>100</v>
      </c>
      <c r="V591" s="12" t="str">
        <f t="shared" si="25"/>
        <v>Clase A++</v>
      </c>
    </row>
    <row r="592" spans="1:22" x14ac:dyDescent="0.2">
      <c r="A592" s="13"/>
      <c r="B592" s="14" t="str">
        <f>IF(A592="","",INDEX(proveedores[Proveedor],MATCH(A592,proveedores[Código],0)))</f>
        <v/>
      </c>
      <c r="C592" s="14" t="str">
        <f>IF(A592="","",INDEX(proveedores[Material],MATCH(A592,proveedores[Código],0)))</f>
        <v/>
      </c>
      <c r="D592" s="15" t="str">
        <f>IF(A592="","",INDEX(proveedores[Perfil],MATCH(A592,proveedores[Código],0)))</f>
        <v/>
      </c>
      <c r="E592" s="15" t="str">
        <f>IF(A592="","",IFERROR(INDEX(proveedores[Nivel de criticidad],MATCH(A592,proveedores[Código],0)),""))</f>
        <v/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5">
        <f t="shared" si="24"/>
        <v>100</v>
      </c>
      <c r="V592" s="12" t="str">
        <f t="shared" si="25"/>
        <v>Clase A++</v>
      </c>
    </row>
    <row r="593" spans="1:22" x14ac:dyDescent="0.2">
      <c r="A593" s="13"/>
      <c r="B593" s="14" t="str">
        <f>IF(A593="","",INDEX(proveedores[Proveedor],MATCH(A593,proveedores[Código],0)))</f>
        <v/>
      </c>
      <c r="C593" s="14" t="str">
        <f>IF(A593="","",INDEX(proveedores[Material],MATCH(A593,proveedores[Código],0)))</f>
        <v/>
      </c>
      <c r="D593" s="15" t="str">
        <f>IF(A593="","",INDEX(proveedores[Perfil],MATCH(A593,proveedores[Código],0)))</f>
        <v/>
      </c>
      <c r="E593" s="15" t="str">
        <f>IF(A593="","",IFERROR(INDEX(proveedores[Nivel de criticidad],MATCH(A593,proveedores[Código],0)),""))</f>
        <v/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5">
        <f t="shared" si="24"/>
        <v>100</v>
      </c>
      <c r="V593" s="12" t="str">
        <f t="shared" si="25"/>
        <v>Clase A++</v>
      </c>
    </row>
    <row r="594" spans="1:22" x14ac:dyDescent="0.2">
      <c r="A594" s="13"/>
      <c r="B594" s="14" t="str">
        <f>IF(A594="","",INDEX(proveedores[Proveedor],MATCH(A594,proveedores[Código],0)))</f>
        <v/>
      </c>
      <c r="C594" s="14" t="str">
        <f>IF(A594="","",INDEX(proveedores[Material],MATCH(A594,proveedores[Código],0)))</f>
        <v/>
      </c>
      <c r="D594" s="15" t="str">
        <f>IF(A594="","",INDEX(proveedores[Perfil],MATCH(A594,proveedores[Código],0)))</f>
        <v/>
      </c>
      <c r="E594" s="15" t="str">
        <f>IF(A594="","",IFERROR(INDEX(proveedores[Nivel de criticidad],MATCH(A594,proveedores[Código],0)),""))</f>
        <v/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5">
        <f t="shared" si="24"/>
        <v>100</v>
      </c>
      <c r="V594" s="12" t="str">
        <f t="shared" si="25"/>
        <v>Clase A++</v>
      </c>
    </row>
    <row r="595" spans="1:22" x14ac:dyDescent="0.2">
      <c r="A595" s="13"/>
      <c r="B595" s="14" t="str">
        <f>IF(A595="","",INDEX(proveedores[Proveedor],MATCH(A595,proveedores[Código],0)))</f>
        <v/>
      </c>
      <c r="C595" s="14" t="str">
        <f>IF(A595="","",INDEX(proveedores[Material],MATCH(A595,proveedores[Código],0)))</f>
        <v/>
      </c>
      <c r="D595" s="15" t="str">
        <f>IF(A595="","",INDEX(proveedores[Perfil],MATCH(A595,proveedores[Código],0)))</f>
        <v/>
      </c>
      <c r="E595" s="15" t="str">
        <f>IF(A595="","",IFERROR(INDEX(proveedores[Nivel de criticidad],MATCH(A595,proveedores[Código],0)),""))</f>
        <v/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5">
        <f t="shared" si="24"/>
        <v>100</v>
      </c>
      <c r="V595" s="12" t="str">
        <f t="shared" si="25"/>
        <v>Clase A++</v>
      </c>
    </row>
    <row r="596" spans="1:22" x14ac:dyDescent="0.2">
      <c r="A596" s="13"/>
      <c r="B596" s="14" t="str">
        <f>IF(A596="","",INDEX(proveedores[Proveedor],MATCH(A596,proveedores[Código],0)))</f>
        <v/>
      </c>
      <c r="C596" s="14" t="str">
        <f>IF(A596="","",INDEX(proveedores[Material],MATCH(A596,proveedores[Código],0)))</f>
        <v/>
      </c>
      <c r="D596" s="15" t="str">
        <f>IF(A596="","",INDEX(proveedores[Perfil],MATCH(A596,proveedores[Código],0)))</f>
        <v/>
      </c>
      <c r="E596" s="15" t="str">
        <f>IF(A596="","",IFERROR(INDEX(proveedores[Nivel de criticidad],MATCH(A596,proveedores[Código],0)),""))</f>
        <v/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5">
        <f t="shared" si="24"/>
        <v>100</v>
      </c>
      <c r="V596" s="12" t="str">
        <f t="shared" si="25"/>
        <v>Clase A++</v>
      </c>
    </row>
    <row r="597" spans="1:22" x14ac:dyDescent="0.2">
      <c r="A597" s="13"/>
      <c r="B597" s="14" t="str">
        <f>IF(A597="","",INDEX(proveedores[Proveedor],MATCH(A597,proveedores[Código],0)))</f>
        <v/>
      </c>
      <c r="C597" s="14" t="str">
        <f>IF(A597="","",INDEX(proveedores[Material],MATCH(A597,proveedores[Código],0)))</f>
        <v/>
      </c>
      <c r="D597" s="15" t="str">
        <f>IF(A597="","",INDEX(proveedores[Perfil],MATCH(A597,proveedores[Código],0)))</f>
        <v/>
      </c>
      <c r="E597" s="15" t="str">
        <f>IF(A597="","",IFERROR(INDEX(proveedores[Nivel de criticidad],MATCH(A597,proveedores[Código],0)),""))</f>
        <v/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5">
        <f t="shared" si="24"/>
        <v>100</v>
      </c>
      <c r="V597" s="12" t="str">
        <f t="shared" si="25"/>
        <v>Clase A++</v>
      </c>
    </row>
    <row r="598" spans="1:22" x14ac:dyDescent="0.2">
      <c r="A598" s="13"/>
      <c r="B598" s="14" t="str">
        <f>IF(A598="","",INDEX(proveedores[Proveedor],MATCH(A598,proveedores[Código],0)))</f>
        <v/>
      </c>
      <c r="C598" s="14" t="str">
        <f>IF(A598="","",INDEX(proveedores[Material],MATCH(A598,proveedores[Código],0)))</f>
        <v/>
      </c>
      <c r="D598" s="15" t="str">
        <f>IF(A598="","",INDEX(proveedores[Perfil],MATCH(A598,proveedores[Código],0)))</f>
        <v/>
      </c>
      <c r="E598" s="15" t="str">
        <f>IF(A598="","",IFERROR(INDEX(proveedores[Nivel de criticidad],MATCH(A598,proveedores[Código],0)),""))</f>
        <v/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5">
        <f t="shared" si="24"/>
        <v>100</v>
      </c>
      <c r="V598" s="12" t="str">
        <f t="shared" si="25"/>
        <v>Clase A++</v>
      </c>
    </row>
    <row r="599" spans="1:22" x14ac:dyDescent="0.2">
      <c r="A599" s="13"/>
      <c r="B599" s="14" t="str">
        <f>IF(A599="","",INDEX(proveedores[Proveedor],MATCH(A599,proveedores[Código],0)))</f>
        <v/>
      </c>
      <c r="C599" s="14" t="str">
        <f>IF(A599="","",INDEX(proveedores[Material],MATCH(A599,proveedores[Código],0)))</f>
        <v/>
      </c>
      <c r="D599" s="15" t="str">
        <f>IF(A599="","",INDEX(proveedores[Perfil],MATCH(A599,proveedores[Código],0)))</f>
        <v/>
      </c>
      <c r="E599" s="15" t="str">
        <f>IF(A599="","",IFERROR(INDEX(proveedores[Nivel de criticidad],MATCH(A599,proveedores[Código],0)),""))</f>
        <v/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5">
        <f t="shared" si="24"/>
        <v>100</v>
      </c>
      <c r="V599" s="12" t="str">
        <f t="shared" si="25"/>
        <v>Clase A++</v>
      </c>
    </row>
    <row r="600" spans="1:22" x14ac:dyDescent="0.2">
      <c r="A600" s="13"/>
      <c r="B600" s="14" t="str">
        <f>IF(A600="","",INDEX(proveedores[Proveedor],MATCH(A600,proveedores[Código],0)))</f>
        <v/>
      </c>
      <c r="C600" s="14" t="str">
        <f>IF(A600="","",INDEX(proveedores[Material],MATCH(A600,proveedores[Código],0)))</f>
        <v/>
      </c>
      <c r="D600" s="15" t="str">
        <f>IF(A600="","",INDEX(proveedores[Perfil],MATCH(A600,proveedores[Código],0)))</f>
        <v/>
      </c>
      <c r="E600" s="15" t="str">
        <f>IF(A600="","",IFERROR(INDEX(proveedores[Nivel de criticidad],MATCH(A600,proveedores[Código],0)),""))</f>
        <v/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5">
        <f t="shared" si="24"/>
        <v>100</v>
      </c>
      <c r="V600" s="12" t="str">
        <f t="shared" si="25"/>
        <v>Clase A++</v>
      </c>
    </row>
    <row r="601" spans="1:22" x14ac:dyDescent="0.2">
      <c r="A601" s="13"/>
      <c r="B601" s="14" t="str">
        <f>IF(A601="","",INDEX(proveedores[Proveedor],MATCH(A601,proveedores[Código],0)))</f>
        <v/>
      </c>
      <c r="C601" s="14" t="str">
        <f>IF(A601="","",INDEX(proveedores[Material],MATCH(A601,proveedores[Código],0)))</f>
        <v/>
      </c>
      <c r="D601" s="15" t="str">
        <f>IF(A601="","",INDEX(proveedores[Perfil],MATCH(A601,proveedores[Código],0)))</f>
        <v/>
      </c>
      <c r="E601" s="15" t="str">
        <f>IF(A601="","",IFERROR(INDEX(proveedores[Nivel de criticidad],MATCH(A601,proveedores[Código],0)),""))</f>
        <v/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5">
        <f t="shared" si="24"/>
        <v>100</v>
      </c>
      <c r="V601" s="12" t="str">
        <f t="shared" si="25"/>
        <v>Clase A++</v>
      </c>
    </row>
    <row r="602" spans="1:22" x14ac:dyDescent="0.2">
      <c r="A602" s="13"/>
      <c r="B602" s="14" t="str">
        <f>IF(A602="","",INDEX(proveedores[Proveedor],MATCH(A602,proveedores[Código],0)))</f>
        <v/>
      </c>
      <c r="C602" s="14" t="str">
        <f>IF(A602="","",INDEX(proveedores[Material],MATCH(A602,proveedores[Código],0)))</f>
        <v/>
      </c>
      <c r="D602" s="15" t="str">
        <f>IF(A602="","",INDEX(proveedores[Perfil],MATCH(A602,proveedores[Código],0)))</f>
        <v/>
      </c>
      <c r="E602" s="15" t="str">
        <f>IF(A602="","",IFERROR(INDEX(proveedores[Nivel de criticidad],MATCH(A602,proveedores[Código],0)),""))</f>
        <v/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5">
        <f t="shared" si="24"/>
        <v>100</v>
      </c>
      <c r="V602" s="12" t="str">
        <f t="shared" si="25"/>
        <v>Clase A++</v>
      </c>
    </row>
    <row r="603" spans="1:22" x14ac:dyDescent="0.2">
      <c r="A603" s="13"/>
      <c r="B603" s="14" t="str">
        <f>IF(A603="","",INDEX(proveedores[Proveedor],MATCH(A603,proveedores[Código],0)))</f>
        <v/>
      </c>
      <c r="C603" s="14" t="str">
        <f>IF(A603="","",INDEX(proveedores[Material],MATCH(A603,proveedores[Código],0)))</f>
        <v/>
      </c>
      <c r="D603" s="15" t="str">
        <f>IF(A603="","",INDEX(proveedores[Perfil],MATCH(A603,proveedores[Código],0)))</f>
        <v/>
      </c>
      <c r="E603" s="15" t="str">
        <f>IF(A603="","",IFERROR(INDEX(proveedores[Nivel de criticidad],MATCH(A603,proveedores[Código],0)),""))</f>
        <v/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5">
        <f t="shared" si="24"/>
        <v>100</v>
      </c>
      <c r="V603" s="12" t="str">
        <f t="shared" si="25"/>
        <v>Clase A++</v>
      </c>
    </row>
    <row r="604" spans="1:22" x14ac:dyDescent="0.2">
      <c r="A604" s="13"/>
      <c r="B604" s="14" t="str">
        <f>IF(A604="","",INDEX(proveedores[Proveedor],MATCH(A604,proveedores[Código],0)))</f>
        <v/>
      </c>
      <c r="C604" s="14" t="str">
        <f>IF(A604="","",INDEX(proveedores[Material],MATCH(A604,proveedores[Código],0)))</f>
        <v/>
      </c>
      <c r="D604" s="15" t="str">
        <f>IF(A604="","",INDEX(proveedores[Perfil],MATCH(A604,proveedores[Código],0)))</f>
        <v/>
      </c>
      <c r="E604" s="15" t="str">
        <f>IF(A604="","",IFERROR(INDEX(proveedores[Nivel de criticidad],MATCH(A604,proveedores[Código],0)),""))</f>
        <v/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5">
        <f t="shared" si="24"/>
        <v>100</v>
      </c>
      <c r="V604" s="12" t="str">
        <f t="shared" si="25"/>
        <v>Clase A++</v>
      </c>
    </row>
    <row r="605" spans="1:22" x14ac:dyDescent="0.2">
      <c r="A605" s="13"/>
      <c r="B605" s="14" t="str">
        <f>IF(A605="","",INDEX(proveedores[Proveedor],MATCH(A605,proveedores[Código],0)))</f>
        <v/>
      </c>
      <c r="C605" s="14" t="str">
        <f>IF(A605="","",INDEX(proveedores[Material],MATCH(A605,proveedores[Código],0)))</f>
        <v/>
      </c>
      <c r="D605" s="15" t="str">
        <f>IF(A605="","",INDEX(proveedores[Perfil],MATCH(A605,proveedores[Código],0)))</f>
        <v/>
      </c>
      <c r="E605" s="15" t="str">
        <f>IF(A605="","",IFERROR(INDEX(proveedores[Nivel de criticidad],MATCH(A605,proveedores[Código],0)),""))</f>
        <v/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5">
        <f t="shared" si="24"/>
        <v>100</v>
      </c>
      <c r="V605" s="12" t="str">
        <f t="shared" si="25"/>
        <v>Clase A++</v>
      </c>
    </row>
    <row r="606" spans="1:22" x14ac:dyDescent="0.2">
      <c r="A606" s="13"/>
      <c r="B606" s="14" t="str">
        <f>IF(A606="","",INDEX(proveedores[Proveedor],MATCH(A606,proveedores[Código],0)))</f>
        <v/>
      </c>
      <c r="C606" s="14" t="str">
        <f>IF(A606="","",INDEX(proveedores[Material],MATCH(A606,proveedores[Código],0)))</f>
        <v/>
      </c>
      <c r="D606" s="15" t="str">
        <f>IF(A606="","",INDEX(proveedores[Perfil],MATCH(A606,proveedores[Código],0)))</f>
        <v/>
      </c>
      <c r="E606" s="15" t="str">
        <f>IF(A606="","",IFERROR(INDEX(proveedores[Nivel de criticidad],MATCH(A606,proveedores[Código],0)),""))</f>
        <v/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5">
        <f t="shared" si="24"/>
        <v>100</v>
      </c>
      <c r="V606" s="12" t="str">
        <f t="shared" si="25"/>
        <v>Clase A++</v>
      </c>
    </row>
    <row r="607" spans="1:22" x14ac:dyDescent="0.2">
      <c r="A607" s="13"/>
      <c r="B607" s="14" t="str">
        <f>IF(A607="","",INDEX(proveedores[Proveedor],MATCH(A607,proveedores[Código],0)))</f>
        <v/>
      </c>
      <c r="C607" s="14" t="str">
        <f>IF(A607="","",INDEX(proveedores[Material],MATCH(A607,proveedores[Código],0)))</f>
        <v/>
      </c>
      <c r="D607" s="15" t="str">
        <f>IF(A607="","",INDEX(proveedores[Perfil],MATCH(A607,proveedores[Código],0)))</f>
        <v/>
      </c>
      <c r="E607" s="15" t="str">
        <f>IF(A607="","",IFERROR(INDEX(proveedores[Nivel de criticidad],MATCH(A607,proveedores[Código],0)),""))</f>
        <v/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5">
        <f t="shared" si="24"/>
        <v>100</v>
      </c>
      <c r="V607" s="12" t="str">
        <f t="shared" si="25"/>
        <v>Clase A++</v>
      </c>
    </row>
    <row r="608" spans="1:22" x14ac:dyDescent="0.2">
      <c r="A608" s="13"/>
      <c r="B608" s="14" t="str">
        <f>IF(A608="","",INDEX(proveedores[Proveedor],MATCH(A608,proveedores[Código],0)))</f>
        <v/>
      </c>
      <c r="C608" s="14" t="str">
        <f>IF(A608="","",INDEX(proveedores[Material],MATCH(A608,proveedores[Código],0)))</f>
        <v/>
      </c>
      <c r="D608" s="15" t="str">
        <f>IF(A608="","",INDEX(proveedores[Perfil],MATCH(A608,proveedores[Código],0)))</f>
        <v/>
      </c>
      <c r="E608" s="15" t="str">
        <f>IF(A608="","",IFERROR(INDEX(proveedores[Nivel de criticidad],MATCH(A608,proveedores[Código],0)),""))</f>
        <v/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5">
        <f t="shared" si="24"/>
        <v>100</v>
      </c>
      <c r="V608" s="12" t="str">
        <f t="shared" si="25"/>
        <v>Clase A++</v>
      </c>
    </row>
    <row r="609" spans="1:22" x14ac:dyDescent="0.2">
      <c r="A609" s="13"/>
      <c r="B609" s="14" t="str">
        <f>IF(A609="","",INDEX(proveedores[Proveedor],MATCH(A609,proveedores[Código],0)))</f>
        <v/>
      </c>
      <c r="C609" s="14" t="str">
        <f>IF(A609="","",INDEX(proveedores[Material],MATCH(A609,proveedores[Código],0)))</f>
        <v/>
      </c>
      <c r="D609" s="15" t="str">
        <f>IF(A609="","",INDEX(proveedores[Perfil],MATCH(A609,proveedores[Código],0)))</f>
        <v/>
      </c>
      <c r="E609" s="15" t="str">
        <f>IF(A609="","",IFERROR(INDEX(proveedores[Nivel de criticidad],MATCH(A609,proveedores[Código],0)),""))</f>
        <v/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5">
        <f t="shared" si="24"/>
        <v>100</v>
      </c>
      <c r="V609" s="12" t="str">
        <f t="shared" si="25"/>
        <v>Clase A++</v>
      </c>
    </row>
    <row r="610" spans="1:22" x14ac:dyDescent="0.2">
      <c r="A610" s="13"/>
      <c r="B610" s="14" t="str">
        <f>IF(A610="","",INDEX(proveedores[Proveedor],MATCH(A610,proveedores[Código],0)))</f>
        <v/>
      </c>
      <c r="C610" s="14" t="str">
        <f>IF(A610="","",INDEX(proveedores[Material],MATCH(A610,proveedores[Código],0)))</f>
        <v/>
      </c>
      <c r="D610" s="15" t="str">
        <f>IF(A610="","",INDEX(proveedores[Perfil],MATCH(A610,proveedores[Código],0)))</f>
        <v/>
      </c>
      <c r="E610" s="15" t="str">
        <f>IF(A610="","",IFERROR(INDEX(proveedores[Nivel de criticidad],MATCH(A610,proveedores[Código],0)),""))</f>
        <v/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5">
        <f t="shared" si="24"/>
        <v>100</v>
      </c>
      <c r="V610" s="12" t="str">
        <f t="shared" si="25"/>
        <v>Clase A++</v>
      </c>
    </row>
    <row r="611" spans="1:22" x14ac:dyDescent="0.2">
      <c r="A611" s="13"/>
      <c r="B611" s="14" t="str">
        <f>IF(A611="","",INDEX(proveedores[Proveedor],MATCH(A611,proveedores[Código],0)))</f>
        <v/>
      </c>
      <c r="C611" s="14" t="str">
        <f>IF(A611="","",INDEX(proveedores[Material],MATCH(A611,proveedores[Código],0)))</f>
        <v/>
      </c>
      <c r="D611" s="15" t="str">
        <f>IF(A611="","",INDEX(proveedores[Perfil],MATCH(A611,proveedores[Código],0)))</f>
        <v/>
      </c>
      <c r="E611" s="15" t="str">
        <f>IF(A611="","",IFERROR(INDEX(proveedores[Nivel de criticidad],MATCH(A611,proveedores[Código],0)),""))</f>
        <v/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5">
        <f t="shared" si="24"/>
        <v>100</v>
      </c>
      <c r="V611" s="12" t="str">
        <f t="shared" si="25"/>
        <v>Clase A++</v>
      </c>
    </row>
    <row r="612" spans="1:22" x14ac:dyDescent="0.2">
      <c r="A612" s="13"/>
      <c r="B612" s="14" t="str">
        <f>IF(A612="","",INDEX(proveedores[Proveedor],MATCH(A612,proveedores[Código],0)))</f>
        <v/>
      </c>
      <c r="C612" s="14" t="str">
        <f>IF(A612="","",INDEX(proveedores[Material],MATCH(A612,proveedores[Código],0)))</f>
        <v/>
      </c>
      <c r="D612" s="15" t="str">
        <f>IF(A612="","",INDEX(proveedores[Perfil],MATCH(A612,proveedores[Código],0)))</f>
        <v/>
      </c>
      <c r="E612" s="15" t="str">
        <f>IF(A612="","",IFERROR(INDEX(proveedores[Nivel de criticidad],MATCH(A612,proveedores[Código],0)),""))</f>
        <v/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5">
        <f t="shared" si="24"/>
        <v>100</v>
      </c>
      <c r="V612" s="12" t="str">
        <f t="shared" si="25"/>
        <v>Clase A++</v>
      </c>
    </row>
    <row r="613" spans="1:22" x14ac:dyDescent="0.2">
      <c r="A613" s="13"/>
      <c r="B613" s="14" t="str">
        <f>IF(A613="","",INDEX(proveedores[Proveedor],MATCH(A613,proveedores[Código],0)))</f>
        <v/>
      </c>
      <c r="C613" s="14" t="str">
        <f>IF(A613="","",INDEX(proveedores[Material],MATCH(A613,proveedores[Código],0)))</f>
        <v/>
      </c>
      <c r="D613" s="15" t="str">
        <f>IF(A613="","",INDEX(proveedores[Perfil],MATCH(A613,proveedores[Código],0)))</f>
        <v/>
      </c>
      <c r="E613" s="15" t="str">
        <f>IF(A613="","",IFERROR(INDEX(proveedores[Nivel de criticidad],MATCH(A613,proveedores[Código],0)),""))</f>
        <v/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5">
        <f t="shared" si="24"/>
        <v>100</v>
      </c>
      <c r="V613" s="12" t="str">
        <f t="shared" si="25"/>
        <v>Clase A++</v>
      </c>
    </row>
    <row r="614" spans="1:22" x14ac:dyDescent="0.2">
      <c r="A614" s="13"/>
      <c r="B614" s="14" t="str">
        <f>IF(A614="","",INDEX(proveedores[Proveedor],MATCH(A614,proveedores[Código],0)))</f>
        <v/>
      </c>
      <c r="C614" s="14" t="str">
        <f>IF(A614="","",INDEX(proveedores[Material],MATCH(A614,proveedores[Código],0)))</f>
        <v/>
      </c>
      <c r="D614" s="15" t="str">
        <f>IF(A614="","",INDEX(proveedores[Perfil],MATCH(A614,proveedores[Código],0)))</f>
        <v/>
      </c>
      <c r="E614" s="15" t="str">
        <f>IF(A614="","",IFERROR(INDEX(proveedores[Nivel de criticidad],MATCH(A614,proveedores[Código],0)),""))</f>
        <v/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5">
        <f t="shared" si="24"/>
        <v>100</v>
      </c>
      <c r="V614" s="12" t="str">
        <f t="shared" si="25"/>
        <v>Clase A++</v>
      </c>
    </row>
    <row r="615" spans="1:22" x14ac:dyDescent="0.2">
      <c r="A615" s="13"/>
      <c r="B615" s="14" t="str">
        <f>IF(A615="","",INDEX(proveedores[Proveedor],MATCH(A615,proveedores[Código],0)))</f>
        <v/>
      </c>
      <c r="C615" s="14" t="str">
        <f>IF(A615="","",INDEX(proveedores[Material],MATCH(A615,proveedores[Código],0)))</f>
        <v/>
      </c>
      <c r="D615" s="15" t="str">
        <f>IF(A615="","",INDEX(proveedores[Perfil],MATCH(A615,proveedores[Código],0)))</f>
        <v/>
      </c>
      <c r="E615" s="15" t="str">
        <f>IF(A615="","",IFERROR(INDEX(proveedores[Nivel de criticidad],MATCH(A615,proveedores[Código],0)),""))</f>
        <v/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5">
        <f t="shared" si="24"/>
        <v>100</v>
      </c>
      <c r="V615" s="12" t="str">
        <f t="shared" si="25"/>
        <v>Clase A++</v>
      </c>
    </row>
    <row r="616" spans="1:22" x14ac:dyDescent="0.2">
      <c r="A616" s="13"/>
      <c r="B616" s="14" t="str">
        <f>IF(A616="","",INDEX(proveedores[Proveedor],MATCH(A616,proveedores[Código],0)))</f>
        <v/>
      </c>
      <c r="C616" s="14" t="str">
        <f>IF(A616="","",INDEX(proveedores[Material],MATCH(A616,proveedores[Código],0)))</f>
        <v/>
      </c>
      <c r="D616" s="15" t="str">
        <f>IF(A616="","",INDEX(proveedores[Perfil],MATCH(A616,proveedores[Código],0)))</f>
        <v/>
      </c>
      <c r="E616" s="15" t="str">
        <f>IF(A616="","",IFERROR(INDEX(proveedores[Nivel de criticidad],MATCH(A616,proveedores[Código],0)),""))</f>
        <v/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5">
        <f t="shared" si="24"/>
        <v>100</v>
      </c>
      <c r="V616" s="12" t="str">
        <f t="shared" si="25"/>
        <v>Clase A++</v>
      </c>
    </row>
    <row r="617" spans="1:22" x14ac:dyDescent="0.2">
      <c r="A617" s="13"/>
      <c r="B617" s="14" t="str">
        <f>IF(A617="","",INDEX(proveedores[Proveedor],MATCH(A617,proveedores[Código],0)))</f>
        <v/>
      </c>
      <c r="C617" s="14" t="str">
        <f>IF(A617="","",INDEX(proveedores[Material],MATCH(A617,proveedores[Código],0)))</f>
        <v/>
      </c>
      <c r="D617" s="15" t="str">
        <f>IF(A617="","",INDEX(proveedores[Perfil],MATCH(A617,proveedores[Código],0)))</f>
        <v/>
      </c>
      <c r="E617" s="15" t="str">
        <f>IF(A617="","",IFERROR(INDEX(proveedores[Nivel de criticidad],MATCH(A617,proveedores[Código],0)),""))</f>
        <v/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5">
        <f t="shared" si="24"/>
        <v>100</v>
      </c>
      <c r="V617" s="12" t="str">
        <f t="shared" si="25"/>
        <v>Clase A++</v>
      </c>
    </row>
    <row r="618" spans="1:22" x14ac:dyDescent="0.2">
      <c r="A618" s="13"/>
      <c r="B618" s="14" t="str">
        <f>IF(A618="","",INDEX(proveedores[Proveedor],MATCH(A618,proveedores[Código],0)))</f>
        <v/>
      </c>
      <c r="C618" s="14" t="str">
        <f>IF(A618="","",INDEX(proveedores[Material],MATCH(A618,proveedores[Código],0)))</f>
        <v/>
      </c>
      <c r="D618" s="15" t="str">
        <f>IF(A618="","",INDEX(proveedores[Perfil],MATCH(A618,proveedores[Código],0)))</f>
        <v/>
      </c>
      <c r="E618" s="15" t="str">
        <f>IF(A618="","",IFERROR(INDEX(proveedores[Nivel de criticidad],MATCH(A618,proveedores[Código],0)),""))</f>
        <v/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5">
        <f t="shared" si="24"/>
        <v>100</v>
      </c>
      <c r="V618" s="12" t="str">
        <f t="shared" si="25"/>
        <v>Clase A++</v>
      </c>
    </row>
    <row r="619" spans="1:22" x14ac:dyDescent="0.2">
      <c r="A619" s="13"/>
      <c r="B619" s="14" t="str">
        <f>IF(A619="","",INDEX(proveedores[Proveedor],MATCH(A619,proveedores[Código],0)))</f>
        <v/>
      </c>
      <c r="C619" s="14" t="str">
        <f>IF(A619="","",INDEX(proveedores[Material],MATCH(A619,proveedores[Código],0)))</f>
        <v/>
      </c>
      <c r="D619" s="15" t="str">
        <f>IF(A619="","",INDEX(proveedores[Perfil],MATCH(A619,proveedores[Código],0)))</f>
        <v/>
      </c>
      <c r="E619" s="15" t="str">
        <f>IF(A619="","",IFERROR(INDEX(proveedores[Nivel de criticidad],MATCH(A619,proveedores[Código],0)),""))</f>
        <v/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5">
        <f t="shared" si="24"/>
        <v>100</v>
      </c>
      <c r="V619" s="12" t="str">
        <f t="shared" si="25"/>
        <v>Clase A++</v>
      </c>
    </row>
    <row r="620" spans="1:22" x14ac:dyDescent="0.2">
      <c r="A620" s="13"/>
      <c r="B620" s="14" t="str">
        <f>IF(A620="","",INDEX(proveedores[Proveedor],MATCH(A620,proveedores[Código],0)))</f>
        <v/>
      </c>
      <c r="C620" s="14" t="str">
        <f>IF(A620="","",INDEX(proveedores[Material],MATCH(A620,proveedores[Código],0)))</f>
        <v/>
      </c>
      <c r="D620" s="15" t="str">
        <f>IF(A620="","",INDEX(proveedores[Perfil],MATCH(A620,proveedores[Código],0)))</f>
        <v/>
      </c>
      <c r="E620" s="15" t="str">
        <f>IF(A620="","",IFERROR(INDEX(proveedores[Nivel de criticidad],MATCH(A620,proveedores[Código],0)),""))</f>
        <v/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5">
        <f t="shared" si="24"/>
        <v>100</v>
      </c>
      <c r="V620" s="12" t="str">
        <f t="shared" si="25"/>
        <v>Clase A++</v>
      </c>
    </row>
    <row r="621" spans="1:22" x14ac:dyDescent="0.2">
      <c r="A621" s="13"/>
      <c r="B621" s="14" t="str">
        <f>IF(A621="","",INDEX(proveedores[Proveedor],MATCH(A621,proveedores[Código],0)))</f>
        <v/>
      </c>
      <c r="C621" s="14" t="str">
        <f>IF(A621="","",INDEX(proveedores[Material],MATCH(A621,proveedores[Código],0)))</f>
        <v/>
      </c>
      <c r="D621" s="15" t="str">
        <f>IF(A621="","",INDEX(proveedores[Perfil],MATCH(A621,proveedores[Código],0)))</f>
        <v/>
      </c>
      <c r="E621" s="15" t="str">
        <f>IF(A621="","",IFERROR(INDEX(proveedores[Nivel de criticidad],MATCH(A621,proveedores[Código],0)),""))</f>
        <v/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5">
        <f t="shared" si="24"/>
        <v>100</v>
      </c>
      <c r="V621" s="12" t="str">
        <f t="shared" si="25"/>
        <v>Clase A++</v>
      </c>
    </row>
    <row r="622" spans="1:22" x14ac:dyDescent="0.2">
      <c r="A622" s="13"/>
      <c r="B622" s="14" t="str">
        <f>IF(A622="","",INDEX(proveedores[Proveedor],MATCH(A622,proveedores[Código],0)))</f>
        <v/>
      </c>
      <c r="C622" s="14" t="str">
        <f>IF(A622="","",INDEX(proveedores[Material],MATCH(A622,proveedores[Código],0)))</f>
        <v/>
      </c>
      <c r="D622" s="15" t="str">
        <f>IF(A622="","",INDEX(proveedores[Perfil],MATCH(A622,proveedores[Código],0)))</f>
        <v/>
      </c>
      <c r="E622" s="15" t="str">
        <f>IF(A622="","",IFERROR(INDEX(proveedores[Nivel de criticidad],MATCH(A622,proveedores[Código],0)),""))</f>
        <v/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5">
        <f t="shared" si="24"/>
        <v>100</v>
      </c>
      <c r="V622" s="12" t="str">
        <f t="shared" si="25"/>
        <v>Clase A++</v>
      </c>
    </row>
    <row r="623" spans="1:22" x14ac:dyDescent="0.2">
      <c r="A623" s="13"/>
      <c r="B623" s="14" t="str">
        <f>IF(A623="","",INDEX(proveedores[Proveedor],MATCH(A623,proveedores[Código],0)))</f>
        <v/>
      </c>
      <c r="C623" s="14" t="str">
        <f>IF(A623="","",INDEX(proveedores[Material],MATCH(A623,proveedores[Código],0)))</f>
        <v/>
      </c>
      <c r="D623" s="15" t="str">
        <f>IF(A623="","",INDEX(proveedores[Perfil],MATCH(A623,proveedores[Código],0)))</f>
        <v/>
      </c>
      <c r="E623" s="15" t="str">
        <f>IF(A623="","",IFERROR(INDEX(proveedores[Nivel de criticidad],MATCH(A623,proveedores[Código],0)),""))</f>
        <v/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5">
        <f t="shared" si="24"/>
        <v>100</v>
      </c>
      <c r="V623" s="12" t="str">
        <f t="shared" si="25"/>
        <v>Clase A++</v>
      </c>
    </row>
    <row r="624" spans="1:22" x14ac:dyDescent="0.2">
      <c r="A624" s="13"/>
      <c r="B624" s="14" t="str">
        <f>IF(A624="","",INDEX(proveedores[Proveedor],MATCH(A624,proveedores[Código],0)))</f>
        <v/>
      </c>
      <c r="C624" s="14" t="str">
        <f>IF(A624="","",INDEX(proveedores[Material],MATCH(A624,proveedores[Código],0)))</f>
        <v/>
      </c>
      <c r="D624" s="15" t="str">
        <f>IF(A624="","",INDEX(proveedores[Perfil],MATCH(A624,proveedores[Código],0)))</f>
        <v/>
      </c>
      <c r="E624" s="15" t="str">
        <f>IF(A624="","",IFERROR(INDEX(proveedores[Nivel de criticidad],MATCH(A624,proveedores[Código],0)),""))</f>
        <v/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5">
        <f t="shared" si="24"/>
        <v>100</v>
      </c>
      <c r="V624" s="12" t="str">
        <f t="shared" si="25"/>
        <v>Clase A++</v>
      </c>
    </row>
    <row r="625" spans="1:22" x14ac:dyDescent="0.2">
      <c r="A625" s="13"/>
      <c r="B625" s="14" t="str">
        <f>IF(A625="","",INDEX(proveedores[Proveedor],MATCH(A625,proveedores[Código],0)))</f>
        <v/>
      </c>
      <c r="C625" s="14" t="str">
        <f>IF(A625="","",INDEX(proveedores[Material],MATCH(A625,proveedores[Código],0)))</f>
        <v/>
      </c>
      <c r="D625" s="15" t="str">
        <f>IF(A625="","",INDEX(proveedores[Perfil],MATCH(A625,proveedores[Código],0)))</f>
        <v/>
      </c>
      <c r="E625" s="15" t="str">
        <f>IF(A625="","",IFERROR(INDEX(proveedores[Nivel de criticidad],MATCH(A625,proveedores[Código],0)),""))</f>
        <v/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5">
        <f t="shared" si="24"/>
        <v>100</v>
      </c>
      <c r="V625" s="12" t="str">
        <f t="shared" si="25"/>
        <v>Clase A++</v>
      </c>
    </row>
    <row r="626" spans="1:22" x14ac:dyDescent="0.2">
      <c r="A626" s="13"/>
      <c r="B626" s="14" t="str">
        <f>IF(A626="","",INDEX(proveedores[Proveedor],MATCH(A626,proveedores[Código],0)))</f>
        <v/>
      </c>
      <c r="C626" s="14" t="str">
        <f>IF(A626="","",INDEX(proveedores[Material],MATCH(A626,proveedores[Código],0)))</f>
        <v/>
      </c>
      <c r="D626" s="15" t="str">
        <f>IF(A626="","",INDEX(proveedores[Perfil],MATCH(A626,proveedores[Código],0)))</f>
        <v/>
      </c>
      <c r="E626" s="15" t="str">
        <f>IF(A626="","",IFERROR(INDEX(proveedores[Nivel de criticidad],MATCH(A626,proveedores[Código],0)),""))</f>
        <v/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5">
        <f t="shared" si="24"/>
        <v>100</v>
      </c>
      <c r="V626" s="12" t="str">
        <f t="shared" si="25"/>
        <v>Clase A++</v>
      </c>
    </row>
    <row r="627" spans="1:22" x14ac:dyDescent="0.2">
      <c r="A627" s="13"/>
      <c r="B627" s="14" t="str">
        <f>IF(A627="","",INDEX(proveedores[Proveedor],MATCH(A627,proveedores[Código],0)))</f>
        <v/>
      </c>
      <c r="C627" s="14" t="str">
        <f>IF(A627="","",INDEX(proveedores[Material],MATCH(A627,proveedores[Código],0)))</f>
        <v/>
      </c>
      <c r="D627" s="15" t="str">
        <f>IF(A627="","",INDEX(proveedores[Perfil],MATCH(A627,proveedores[Código],0)))</f>
        <v/>
      </c>
      <c r="E627" s="15" t="str">
        <f>IF(A627="","",IFERROR(INDEX(proveedores[Nivel de criticidad],MATCH(A627,proveedores[Código],0)),""))</f>
        <v/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5">
        <f t="shared" si="24"/>
        <v>100</v>
      </c>
      <c r="V627" s="12" t="str">
        <f t="shared" si="25"/>
        <v>Clase A++</v>
      </c>
    </row>
    <row r="628" spans="1:22" x14ac:dyDescent="0.2">
      <c r="A628" s="13"/>
      <c r="B628" s="14" t="str">
        <f>IF(A628="","",INDEX(proveedores[Proveedor],MATCH(A628,proveedores[Código],0)))</f>
        <v/>
      </c>
      <c r="C628" s="14" t="str">
        <f>IF(A628="","",INDEX(proveedores[Material],MATCH(A628,proveedores[Código],0)))</f>
        <v/>
      </c>
      <c r="D628" s="15" t="str">
        <f>IF(A628="","",INDEX(proveedores[Perfil],MATCH(A628,proveedores[Código],0)))</f>
        <v/>
      </c>
      <c r="E628" s="15" t="str">
        <f>IF(A628="","",IFERROR(INDEX(proveedores[Nivel de criticidad],MATCH(A628,proveedores[Código],0)),""))</f>
        <v/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5">
        <f t="shared" si="24"/>
        <v>100</v>
      </c>
      <c r="V628" s="12" t="str">
        <f t="shared" si="25"/>
        <v>Clase A++</v>
      </c>
    </row>
    <row r="629" spans="1:22" x14ac:dyDescent="0.2">
      <c r="A629" s="13"/>
      <c r="B629" s="14" t="str">
        <f>IF(A629="","",INDEX(proveedores[Proveedor],MATCH(A629,proveedores[Código],0)))</f>
        <v/>
      </c>
      <c r="C629" s="14" t="str">
        <f>IF(A629="","",INDEX(proveedores[Material],MATCH(A629,proveedores[Código],0)))</f>
        <v/>
      </c>
      <c r="D629" s="15" t="str">
        <f>IF(A629="","",INDEX(proveedores[Perfil],MATCH(A629,proveedores[Código],0)))</f>
        <v/>
      </c>
      <c r="E629" s="15" t="str">
        <f>IF(A629="","",IFERROR(INDEX(proveedores[Nivel de criticidad],MATCH(A629,proveedores[Código],0)),""))</f>
        <v/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5">
        <f t="shared" si="24"/>
        <v>100</v>
      </c>
      <c r="V629" s="12" t="str">
        <f t="shared" si="25"/>
        <v>Clase A++</v>
      </c>
    </row>
    <row r="630" spans="1:22" x14ac:dyDescent="0.2">
      <c r="A630" s="13"/>
      <c r="B630" s="14" t="str">
        <f>IF(A630="","",INDEX(proveedores[Proveedor],MATCH(A630,proveedores[Código],0)))</f>
        <v/>
      </c>
      <c r="C630" s="14" t="str">
        <f>IF(A630="","",INDEX(proveedores[Material],MATCH(A630,proveedores[Código],0)))</f>
        <v/>
      </c>
      <c r="D630" s="15" t="str">
        <f>IF(A630="","",INDEX(proveedores[Perfil],MATCH(A630,proveedores[Código],0)))</f>
        <v/>
      </c>
      <c r="E630" s="15" t="str">
        <f>IF(A630="","",IFERROR(INDEX(proveedores[Nivel de criticidad],MATCH(A630,proveedores[Código],0)),""))</f>
        <v/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5">
        <f t="shared" si="24"/>
        <v>100</v>
      </c>
      <c r="V630" s="12" t="str">
        <f t="shared" si="25"/>
        <v>Clase A++</v>
      </c>
    </row>
    <row r="631" spans="1:22" x14ac:dyDescent="0.2">
      <c r="A631" s="13"/>
      <c r="B631" s="14" t="str">
        <f>IF(A631="","",INDEX(proveedores[Proveedor],MATCH(A631,proveedores[Código],0)))</f>
        <v/>
      </c>
      <c r="C631" s="14" t="str">
        <f>IF(A631="","",INDEX(proveedores[Material],MATCH(A631,proveedores[Código],0)))</f>
        <v/>
      </c>
      <c r="D631" s="15" t="str">
        <f>IF(A631="","",INDEX(proveedores[Perfil],MATCH(A631,proveedores[Código],0)))</f>
        <v/>
      </c>
      <c r="E631" s="15" t="str">
        <f>IF(A631="","",IFERROR(INDEX(proveedores[Nivel de criticidad],MATCH(A631,proveedores[Código],0)),""))</f>
        <v/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5">
        <f t="shared" si="24"/>
        <v>100</v>
      </c>
      <c r="V631" s="12" t="str">
        <f t="shared" si="25"/>
        <v>Clase A++</v>
      </c>
    </row>
    <row r="632" spans="1:22" x14ac:dyDescent="0.2">
      <c r="A632" s="13"/>
      <c r="B632" s="14" t="str">
        <f>IF(A632="","",INDEX(proveedores[Proveedor],MATCH(A632,proveedores[Código],0)))</f>
        <v/>
      </c>
      <c r="C632" s="14" t="str">
        <f>IF(A632="","",INDEX(proveedores[Material],MATCH(A632,proveedores[Código],0)))</f>
        <v/>
      </c>
      <c r="D632" s="15" t="str">
        <f>IF(A632="","",INDEX(proveedores[Perfil],MATCH(A632,proveedores[Código],0)))</f>
        <v/>
      </c>
      <c r="E632" s="15" t="str">
        <f>IF(A632="","",IFERROR(INDEX(proveedores[Nivel de criticidad],MATCH(A632,proveedores[Código],0)),""))</f>
        <v/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5">
        <f t="shared" si="24"/>
        <v>100</v>
      </c>
      <c r="V632" s="12" t="str">
        <f t="shared" si="25"/>
        <v>Clase A++</v>
      </c>
    </row>
    <row r="633" spans="1:22" x14ac:dyDescent="0.2">
      <c r="A633" s="13"/>
      <c r="B633" s="14" t="str">
        <f>IF(A633="","",INDEX(proveedores[Proveedor],MATCH(A633,proveedores[Código],0)))</f>
        <v/>
      </c>
      <c r="C633" s="14" t="str">
        <f>IF(A633="","",INDEX(proveedores[Material],MATCH(A633,proveedores[Código],0)))</f>
        <v/>
      </c>
      <c r="D633" s="15" t="str">
        <f>IF(A633="","",INDEX(proveedores[Perfil],MATCH(A633,proveedores[Código],0)))</f>
        <v/>
      </c>
      <c r="E633" s="15" t="str">
        <f>IF(A633="","",IFERROR(INDEX(proveedores[Nivel de criticidad],MATCH(A633,proveedores[Código],0)),""))</f>
        <v/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5">
        <f t="shared" si="24"/>
        <v>100</v>
      </c>
      <c r="V633" s="12" t="str">
        <f t="shared" si="25"/>
        <v>Clase A++</v>
      </c>
    </row>
    <row r="634" spans="1:22" x14ac:dyDescent="0.2">
      <c r="A634" s="13"/>
      <c r="B634" s="14" t="str">
        <f>IF(A634="","",INDEX(proveedores[Proveedor],MATCH(A634,proveedores[Código],0)))</f>
        <v/>
      </c>
      <c r="C634" s="14" t="str">
        <f>IF(A634="","",INDEX(proveedores[Material],MATCH(A634,proveedores[Código],0)))</f>
        <v/>
      </c>
      <c r="D634" s="15" t="str">
        <f>IF(A634="","",INDEX(proveedores[Perfil],MATCH(A634,proveedores[Código],0)))</f>
        <v/>
      </c>
      <c r="E634" s="15" t="str">
        <f>IF(A634="","",IFERROR(INDEX(proveedores[Nivel de criticidad],MATCH(A634,proveedores[Código],0)),""))</f>
        <v/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5">
        <f t="shared" si="24"/>
        <v>100</v>
      </c>
      <c r="V634" s="12" t="str">
        <f t="shared" si="25"/>
        <v>Clase A++</v>
      </c>
    </row>
    <row r="635" spans="1:22" x14ac:dyDescent="0.2">
      <c r="A635" s="13"/>
      <c r="B635" s="14" t="str">
        <f>IF(A635="","",INDEX(proveedores[Proveedor],MATCH(A635,proveedores[Código],0)))</f>
        <v/>
      </c>
      <c r="C635" s="14" t="str">
        <f>IF(A635="","",INDEX(proveedores[Material],MATCH(A635,proveedores[Código],0)))</f>
        <v/>
      </c>
      <c r="D635" s="15" t="str">
        <f>IF(A635="","",INDEX(proveedores[Perfil],MATCH(A635,proveedores[Código],0)))</f>
        <v/>
      </c>
      <c r="E635" s="15" t="str">
        <f>IF(A635="","",IFERROR(INDEX(proveedores[Nivel de criticidad],MATCH(A635,proveedores[Código],0)),""))</f>
        <v/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5">
        <f t="shared" si="24"/>
        <v>100</v>
      </c>
      <c r="V635" s="12" t="str">
        <f t="shared" si="25"/>
        <v>Clase A++</v>
      </c>
    </row>
    <row r="636" spans="1:22" x14ac:dyDescent="0.2">
      <c r="A636" s="13"/>
      <c r="B636" s="14" t="str">
        <f>IF(A636="","",INDEX(proveedores[Proveedor],MATCH(A636,proveedores[Código],0)))</f>
        <v/>
      </c>
      <c r="C636" s="14" t="str">
        <f>IF(A636="","",INDEX(proveedores[Material],MATCH(A636,proveedores[Código],0)))</f>
        <v/>
      </c>
      <c r="D636" s="15" t="str">
        <f>IF(A636="","",INDEX(proveedores[Perfil],MATCH(A636,proveedores[Código],0)))</f>
        <v/>
      </c>
      <c r="E636" s="15" t="str">
        <f>IF(A636="","",IFERROR(INDEX(proveedores[Nivel de criticidad],MATCH(A636,proveedores[Código],0)),""))</f>
        <v/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5">
        <f t="shared" si="24"/>
        <v>100</v>
      </c>
      <c r="V636" s="12" t="str">
        <f t="shared" si="25"/>
        <v>Clase A++</v>
      </c>
    </row>
    <row r="637" spans="1:22" x14ac:dyDescent="0.2">
      <c r="A637" s="13"/>
      <c r="B637" s="14" t="str">
        <f>IF(A637="","",INDEX(proveedores[Proveedor],MATCH(A637,proveedores[Código],0)))</f>
        <v/>
      </c>
      <c r="C637" s="14" t="str">
        <f>IF(A637="","",INDEX(proveedores[Material],MATCH(A637,proveedores[Código],0)))</f>
        <v/>
      </c>
      <c r="D637" s="15" t="str">
        <f>IF(A637="","",INDEX(proveedores[Perfil],MATCH(A637,proveedores[Código],0)))</f>
        <v/>
      </c>
      <c r="E637" s="15" t="str">
        <f>IF(A637="","",IFERROR(INDEX(proveedores[Nivel de criticidad],MATCH(A637,proveedores[Código],0)),""))</f>
        <v/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5">
        <f t="shared" si="24"/>
        <v>100</v>
      </c>
      <c r="V637" s="12" t="str">
        <f t="shared" si="25"/>
        <v>Clase A++</v>
      </c>
    </row>
    <row r="638" spans="1:22" x14ac:dyDescent="0.2">
      <c r="A638" s="13"/>
      <c r="B638" s="14" t="str">
        <f>IF(A638="","",INDEX(proveedores[Proveedor],MATCH(A638,proveedores[Código],0)))</f>
        <v/>
      </c>
      <c r="C638" s="14" t="str">
        <f>IF(A638="","",INDEX(proveedores[Material],MATCH(A638,proveedores[Código],0)))</f>
        <v/>
      </c>
      <c r="D638" s="15" t="str">
        <f>IF(A638="","",INDEX(proveedores[Perfil],MATCH(A638,proveedores[Código],0)))</f>
        <v/>
      </c>
      <c r="E638" s="15" t="str">
        <f>IF(A638="","",IFERROR(INDEX(proveedores[Nivel de criticidad],MATCH(A638,proveedores[Código],0)),""))</f>
        <v/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5">
        <f t="shared" si="24"/>
        <v>100</v>
      </c>
      <c r="V638" s="12" t="str">
        <f t="shared" si="25"/>
        <v>Clase A++</v>
      </c>
    </row>
    <row r="639" spans="1:22" x14ac:dyDescent="0.2">
      <c r="A639" s="13"/>
      <c r="B639" s="14" t="str">
        <f>IF(A639="","",INDEX(proveedores[Proveedor],MATCH(A639,proveedores[Código],0)))</f>
        <v/>
      </c>
      <c r="C639" s="14" t="str">
        <f>IF(A639="","",INDEX(proveedores[Material],MATCH(A639,proveedores[Código],0)))</f>
        <v/>
      </c>
      <c r="D639" s="15" t="str">
        <f>IF(A639="","",INDEX(proveedores[Perfil],MATCH(A639,proveedores[Código],0)))</f>
        <v/>
      </c>
      <c r="E639" s="15" t="str">
        <f>IF(A639="","",IFERROR(INDEX(proveedores[Nivel de criticidad],MATCH(A639,proveedores[Código],0)),""))</f>
        <v/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5">
        <f t="shared" si="24"/>
        <v>100</v>
      </c>
      <c r="V639" s="12" t="str">
        <f t="shared" si="25"/>
        <v>Clase A++</v>
      </c>
    </row>
    <row r="640" spans="1:22" x14ac:dyDescent="0.2">
      <c r="A640" s="13"/>
      <c r="B640" s="14" t="str">
        <f>IF(A640="","",INDEX(proveedores[Proveedor],MATCH(A640,proveedores[Código],0)))</f>
        <v/>
      </c>
      <c r="C640" s="14" t="str">
        <f>IF(A640="","",INDEX(proveedores[Material],MATCH(A640,proveedores[Código],0)))</f>
        <v/>
      </c>
      <c r="D640" s="15" t="str">
        <f>IF(A640="","",INDEX(proveedores[Perfil],MATCH(A640,proveedores[Código],0)))</f>
        <v/>
      </c>
      <c r="E640" s="15" t="str">
        <f>IF(A640="","",IFERROR(INDEX(proveedores[Nivel de criticidad],MATCH(A640,proveedores[Código],0)),""))</f>
        <v/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5">
        <f t="shared" si="24"/>
        <v>100</v>
      </c>
      <c r="V640" s="12" t="str">
        <f t="shared" si="25"/>
        <v>Clase A++</v>
      </c>
    </row>
    <row r="641" spans="1:22" x14ac:dyDescent="0.2">
      <c r="A641" s="13"/>
      <c r="B641" s="14" t="str">
        <f>IF(A641="","",INDEX(proveedores[Proveedor],MATCH(A641,proveedores[Código],0)))</f>
        <v/>
      </c>
      <c r="C641" s="14" t="str">
        <f>IF(A641="","",INDEX(proveedores[Material],MATCH(A641,proveedores[Código],0)))</f>
        <v/>
      </c>
      <c r="D641" s="15" t="str">
        <f>IF(A641="","",INDEX(proveedores[Perfil],MATCH(A641,proveedores[Código],0)))</f>
        <v/>
      </c>
      <c r="E641" s="15" t="str">
        <f>IF(A641="","",IFERROR(INDEX(proveedores[Nivel de criticidad],MATCH(A641,proveedores[Código],0)),""))</f>
        <v/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5">
        <f t="shared" si="24"/>
        <v>100</v>
      </c>
      <c r="V641" s="12" t="str">
        <f t="shared" si="25"/>
        <v>Clase A++</v>
      </c>
    </row>
    <row r="642" spans="1:22" x14ac:dyDescent="0.2">
      <c r="A642" s="13"/>
      <c r="B642" s="14" t="str">
        <f>IF(A642="","",INDEX(proveedores[Proveedor],MATCH(A642,proveedores[Código],0)))</f>
        <v/>
      </c>
      <c r="C642" s="14" t="str">
        <f>IF(A642="","",INDEX(proveedores[Material],MATCH(A642,proveedores[Código],0)))</f>
        <v/>
      </c>
      <c r="D642" s="15" t="str">
        <f>IF(A642="","",INDEX(proveedores[Perfil],MATCH(A642,proveedores[Código],0)))</f>
        <v/>
      </c>
      <c r="E642" s="15" t="str">
        <f>IF(A642="","",IFERROR(INDEX(proveedores[Nivel de criticidad],MATCH(A642,proveedores[Código],0)),""))</f>
        <v/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5">
        <f t="shared" si="24"/>
        <v>100</v>
      </c>
      <c r="V642" s="12" t="str">
        <f t="shared" si="25"/>
        <v>Clase A++</v>
      </c>
    </row>
    <row r="643" spans="1:22" x14ac:dyDescent="0.2">
      <c r="A643" s="13"/>
      <c r="B643" s="14" t="str">
        <f>IF(A643="","",INDEX(proveedores[Proveedor],MATCH(A643,proveedores[Código],0)))</f>
        <v/>
      </c>
      <c r="C643" s="14" t="str">
        <f>IF(A643="","",INDEX(proveedores[Material],MATCH(A643,proveedores[Código],0)))</f>
        <v/>
      </c>
      <c r="D643" s="15" t="str">
        <f>IF(A643="","",INDEX(proveedores[Perfil],MATCH(A643,proveedores[Código],0)))</f>
        <v/>
      </c>
      <c r="E643" s="15" t="str">
        <f>IF(A643="","",IFERROR(INDEX(proveedores[Nivel de criticidad],MATCH(A643,proveedores[Código],0)),""))</f>
        <v/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5">
        <f t="shared" si="24"/>
        <v>100</v>
      </c>
      <c r="V643" s="12" t="str">
        <f t="shared" si="25"/>
        <v>Clase A++</v>
      </c>
    </row>
    <row r="644" spans="1:22" x14ac:dyDescent="0.2">
      <c r="A644" s="13"/>
      <c r="B644" s="14" t="str">
        <f>IF(A644="","",INDEX(proveedores[Proveedor],MATCH(A644,proveedores[Código],0)))</f>
        <v/>
      </c>
      <c r="C644" s="14" t="str">
        <f>IF(A644="","",INDEX(proveedores[Material],MATCH(A644,proveedores[Código],0)))</f>
        <v/>
      </c>
      <c r="D644" s="15" t="str">
        <f>IF(A644="","",INDEX(proveedores[Perfil],MATCH(A644,proveedores[Código],0)))</f>
        <v/>
      </c>
      <c r="E644" s="15" t="str">
        <f>IF(A644="","",IFERROR(INDEX(proveedores[Nivel de criticidad],MATCH(A644,proveedores[Código],0)),""))</f>
        <v/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5">
        <f t="shared" si="24"/>
        <v>100</v>
      </c>
      <c r="V644" s="12" t="str">
        <f t="shared" si="25"/>
        <v>Clase A++</v>
      </c>
    </row>
    <row r="645" spans="1:22" x14ac:dyDescent="0.2">
      <c r="A645" s="13"/>
      <c r="B645" s="14" t="str">
        <f>IF(A645="","",INDEX(proveedores[Proveedor],MATCH(A645,proveedores[Código],0)))</f>
        <v/>
      </c>
      <c r="C645" s="14" t="str">
        <f>IF(A645="","",INDEX(proveedores[Material],MATCH(A645,proveedores[Código],0)))</f>
        <v/>
      </c>
      <c r="D645" s="15" t="str">
        <f>IF(A645="","",INDEX(proveedores[Perfil],MATCH(A645,proveedores[Código],0)))</f>
        <v/>
      </c>
      <c r="E645" s="15" t="str">
        <f>IF(A645="","",IFERROR(INDEX(proveedores[Nivel de criticidad],MATCH(A645,proveedores[Código],0)),""))</f>
        <v/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5">
        <f t="shared" si="24"/>
        <v>100</v>
      </c>
      <c r="V645" s="12" t="str">
        <f t="shared" si="25"/>
        <v>Clase A++</v>
      </c>
    </row>
    <row r="646" spans="1:22" x14ac:dyDescent="0.2">
      <c r="A646" s="13"/>
      <c r="B646" s="14" t="str">
        <f>IF(A646="","",INDEX(proveedores[Proveedor],MATCH(A646,proveedores[Código],0)))</f>
        <v/>
      </c>
      <c r="C646" s="14" t="str">
        <f>IF(A646="","",INDEX(proveedores[Material],MATCH(A646,proveedores[Código],0)))</f>
        <v/>
      </c>
      <c r="D646" s="15" t="str">
        <f>IF(A646="","",INDEX(proveedores[Perfil],MATCH(A646,proveedores[Código],0)))</f>
        <v/>
      </c>
      <c r="E646" s="15" t="str">
        <f>IF(A646="","",IFERROR(INDEX(proveedores[Nivel de criticidad],MATCH(A646,proveedores[Código],0)),""))</f>
        <v/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5">
        <f t="shared" ref="U646:U709" si="26">IF(D646="Internacional", MIN(IF(((F646*10)+(G646*3)+(H646*4)+(I646*5)+(J646*8)+(O646*5)+(P646*2)+IF(L646="N/A",0,(L646*10)+(M646*5)+(N646*3)))&gt;0,98,100), ((MAX(0, 30 - (F646*10) - (G646*3))/30)*45) + ((MAX(0, 25 - (H646*4) - (I646*5) - (J646*8) - (K646*5))/25)*35) + ((MAX(0, 15 - (O646*5) - (P646*2))/15)*20) + (IF(Q646="N/A",0,Q646)*2.5) + (IF(R646="N/A",0,R646)*2.5) + (IF(S646="N/A",0,S646)*2.5) + (IF(T646="N/A",0,T646)*2.5)), IF(D646="Local Insumos", MIN(IF(((F646*10)+(G646*3)+(H646*4)+(I646*5)+(J646*8)+(O646*5)+(P646*2)+IF(L646="N/A",0,(L646*10)+(M646*5)+(N646*3)))&gt;0,98,100), ((MAX(0, 30 - (F646*10) - (G646*3))/30)*35) + ((MAX(0, 25 - (H646*4) - (I646*5) - (J646*8) - (K646*5))/25)*30) + MAX(0, 20 - (L646*10) - (M646*5) - (N646*3)) + MAX(0, 15 - (O646*5) - (P646*2)) + (IF(Q646="N/A",0,Q646)*2.5) + (IF(R646="N/A",0,R646)*2.5) + (IF(S646="N/A",0,S646)*2.5) + (IF(T646="N/A",0,T646)*2.5)), MIN(IF(((F646*10)+(G646*3)+(H646*4)+(I646*5)+(J646*8)+(O646*5)+(P646*2)+IF(L646="N/A",0,(L646*10)+(M646*5)+(N646*3)))&gt;0,98,100), ((MAX(0, 25 - (H646*4) - (I646*5) - (J646*8) - (K646*5))/25)*55) + ((MAX(0, 20 - (L646*10) - (M646*5) - (N646*3))/20)*30) + ((MAX(0, 15 - (O646*5) - (P646*2))/15)*15))))</f>
        <v>100</v>
      </c>
      <c r="V646" s="12" t="str">
        <f t="shared" si="25"/>
        <v>Clase A++</v>
      </c>
    </row>
    <row r="647" spans="1:22" x14ac:dyDescent="0.2">
      <c r="A647" s="13"/>
      <c r="B647" s="14" t="str">
        <f>IF(A647="","",INDEX(proveedores[Proveedor],MATCH(A647,proveedores[Código],0)))</f>
        <v/>
      </c>
      <c r="C647" s="14" t="str">
        <f>IF(A647="","",INDEX(proveedores[Material],MATCH(A647,proveedores[Código],0)))</f>
        <v/>
      </c>
      <c r="D647" s="15" t="str">
        <f>IF(A647="","",INDEX(proveedores[Perfil],MATCH(A647,proveedores[Código],0)))</f>
        <v/>
      </c>
      <c r="E647" s="15" t="str">
        <f>IF(A647="","",IFERROR(INDEX(proveedores[Nivel de criticidad],MATCH(A647,proveedores[Código],0)),""))</f>
        <v/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5">
        <f t="shared" si="26"/>
        <v>100</v>
      </c>
      <c r="V647" s="12" t="str">
        <f t="shared" ref="V647:V710" si="27">IF(U647&gt;=96, "Clase A++", IF(U647&gt;=85, "Clase A", IF(U647&gt;=70, "Clase B", "Clase C")))</f>
        <v>Clase A++</v>
      </c>
    </row>
    <row r="648" spans="1:22" x14ac:dyDescent="0.2">
      <c r="A648" s="13"/>
      <c r="B648" s="14" t="str">
        <f>IF(A648="","",INDEX(proveedores[Proveedor],MATCH(A648,proveedores[Código],0)))</f>
        <v/>
      </c>
      <c r="C648" s="14" t="str">
        <f>IF(A648="","",INDEX(proveedores[Material],MATCH(A648,proveedores[Código],0)))</f>
        <v/>
      </c>
      <c r="D648" s="15" t="str">
        <f>IF(A648="","",INDEX(proveedores[Perfil],MATCH(A648,proveedores[Código],0)))</f>
        <v/>
      </c>
      <c r="E648" s="15" t="str">
        <f>IF(A648="","",IFERROR(INDEX(proveedores[Nivel de criticidad],MATCH(A648,proveedores[Código],0)),""))</f>
        <v/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5">
        <f t="shared" si="26"/>
        <v>100</v>
      </c>
      <c r="V648" s="12" t="str">
        <f t="shared" si="27"/>
        <v>Clase A++</v>
      </c>
    </row>
    <row r="649" spans="1:22" x14ac:dyDescent="0.2">
      <c r="A649" s="13"/>
      <c r="B649" s="14" t="str">
        <f>IF(A649="","",INDEX(proveedores[Proveedor],MATCH(A649,proveedores[Código],0)))</f>
        <v/>
      </c>
      <c r="C649" s="14" t="str">
        <f>IF(A649="","",INDEX(proveedores[Material],MATCH(A649,proveedores[Código],0)))</f>
        <v/>
      </c>
      <c r="D649" s="15" t="str">
        <f>IF(A649="","",INDEX(proveedores[Perfil],MATCH(A649,proveedores[Código],0)))</f>
        <v/>
      </c>
      <c r="E649" s="15" t="str">
        <f>IF(A649="","",IFERROR(INDEX(proveedores[Nivel de criticidad],MATCH(A649,proveedores[Código],0)),""))</f>
        <v/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5">
        <f t="shared" si="26"/>
        <v>100</v>
      </c>
      <c r="V649" s="12" t="str">
        <f t="shared" si="27"/>
        <v>Clase A++</v>
      </c>
    </row>
    <row r="650" spans="1:22" x14ac:dyDescent="0.2">
      <c r="A650" s="13"/>
      <c r="B650" s="14" t="str">
        <f>IF(A650="","",INDEX(proveedores[Proveedor],MATCH(A650,proveedores[Código],0)))</f>
        <v/>
      </c>
      <c r="C650" s="14" t="str">
        <f>IF(A650="","",INDEX(proveedores[Material],MATCH(A650,proveedores[Código],0)))</f>
        <v/>
      </c>
      <c r="D650" s="15" t="str">
        <f>IF(A650="","",INDEX(proveedores[Perfil],MATCH(A650,proveedores[Código],0)))</f>
        <v/>
      </c>
      <c r="E650" s="15" t="str">
        <f>IF(A650="","",IFERROR(INDEX(proveedores[Nivel de criticidad],MATCH(A650,proveedores[Código],0)),""))</f>
        <v/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5">
        <f t="shared" si="26"/>
        <v>100</v>
      </c>
      <c r="V650" s="12" t="str">
        <f t="shared" si="27"/>
        <v>Clase A++</v>
      </c>
    </row>
    <row r="651" spans="1:22" x14ac:dyDescent="0.2">
      <c r="A651" s="13"/>
      <c r="B651" s="14" t="str">
        <f>IF(A651="","",INDEX(proveedores[Proveedor],MATCH(A651,proveedores[Código],0)))</f>
        <v/>
      </c>
      <c r="C651" s="14" t="str">
        <f>IF(A651="","",INDEX(proveedores[Material],MATCH(A651,proveedores[Código],0)))</f>
        <v/>
      </c>
      <c r="D651" s="15" t="str">
        <f>IF(A651="","",INDEX(proveedores[Perfil],MATCH(A651,proveedores[Código],0)))</f>
        <v/>
      </c>
      <c r="E651" s="15" t="str">
        <f>IF(A651="","",IFERROR(INDEX(proveedores[Nivel de criticidad],MATCH(A651,proveedores[Código],0)),""))</f>
        <v/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5">
        <f t="shared" si="26"/>
        <v>100</v>
      </c>
      <c r="V651" s="12" t="str">
        <f t="shared" si="27"/>
        <v>Clase A++</v>
      </c>
    </row>
    <row r="652" spans="1:22" x14ac:dyDescent="0.2">
      <c r="A652" s="13"/>
      <c r="B652" s="14" t="str">
        <f>IF(A652="","",INDEX(proveedores[Proveedor],MATCH(A652,proveedores[Código],0)))</f>
        <v/>
      </c>
      <c r="C652" s="14" t="str">
        <f>IF(A652="","",INDEX(proveedores[Material],MATCH(A652,proveedores[Código],0)))</f>
        <v/>
      </c>
      <c r="D652" s="15" t="str">
        <f>IF(A652="","",INDEX(proveedores[Perfil],MATCH(A652,proveedores[Código],0)))</f>
        <v/>
      </c>
      <c r="E652" s="15" t="str">
        <f>IF(A652="","",IFERROR(INDEX(proveedores[Nivel de criticidad],MATCH(A652,proveedores[Código],0)),""))</f>
        <v/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5">
        <f t="shared" si="26"/>
        <v>100</v>
      </c>
      <c r="V652" s="12" t="str">
        <f t="shared" si="27"/>
        <v>Clase A++</v>
      </c>
    </row>
    <row r="653" spans="1:22" x14ac:dyDescent="0.2">
      <c r="A653" s="13"/>
      <c r="B653" s="14" t="str">
        <f>IF(A653="","",INDEX(proveedores[Proveedor],MATCH(A653,proveedores[Código],0)))</f>
        <v/>
      </c>
      <c r="C653" s="14" t="str">
        <f>IF(A653="","",INDEX(proveedores[Material],MATCH(A653,proveedores[Código],0)))</f>
        <v/>
      </c>
      <c r="D653" s="15" t="str">
        <f>IF(A653="","",INDEX(proveedores[Perfil],MATCH(A653,proveedores[Código],0)))</f>
        <v/>
      </c>
      <c r="E653" s="15" t="str">
        <f>IF(A653="","",IFERROR(INDEX(proveedores[Nivel de criticidad],MATCH(A653,proveedores[Código],0)),""))</f>
        <v/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5">
        <f t="shared" si="26"/>
        <v>100</v>
      </c>
      <c r="V653" s="12" t="str">
        <f t="shared" si="27"/>
        <v>Clase A++</v>
      </c>
    </row>
    <row r="654" spans="1:22" x14ac:dyDescent="0.2">
      <c r="A654" s="13"/>
      <c r="B654" s="14" t="str">
        <f>IF(A654="","",INDEX(proveedores[Proveedor],MATCH(A654,proveedores[Código],0)))</f>
        <v/>
      </c>
      <c r="C654" s="14" t="str">
        <f>IF(A654="","",INDEX(proveedores[Material],MATCH(A654,proveedores[Código],0)))</f>
        <v/>
      </c>
      <c r="D654" s="15" t="str">
        <f>IF(A654="","",INDEX(proveedores[Perfil],MATCH(A654,proveedores[Código],0)))</f>
        <v/>
      </c>
      <c r="E654" s="15" t="str">
        <f>IF(A654="","",IFERROR(INDEX(proveedores[Nivel de criticidad],MATCH(A654,proveedores[Código],0)),""))</f>
        <v/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5">
        <f t="shared" si="26"/>
        <v>100</v>
      </c>
      <c r="V654" s="12" t="str">
        <f t="shared" si="27"/>
        <v>Clase A++</v>
      </c>
    </row>
    <row r="655" spans="1:22" x14ac:dyDescent="0.2">
      <c r="A655" s="13"/>
      <c r="B655" s="14" t="str">
        <f>IF(A655="","",INDEX(proveedores[Proveedor],MATCH(A655,proveedores[Código],0)))</f>
        <v/>
      </c>
      <c r="C655" s="14" t="str">
        <f>IF(A655="","",INDEX(proveedores[Material],MATCH(A655,proveedores[Código],0)))</f>
        <v/>
      </c>
      <c r="D655" s="15" t="str">
        <f>IF(A655="","",INDEX(proveedores[Perfil],MATCH(A655,proveedores[Código],0)))</f>
        <v/>
      </c>
      <c r="E655" s="15" t="str">
        <f>IF(A655="","",IFERROR(INDEX(proveedores[Nivel de criticidad],MATCH(A655,proveedores[Código],0)),""))</f>
        <v/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5">
        <f t="shared" si="26"/>
        <v>100</v>
      </c>
      <c r="V655" s="12" t="str">
        <f t="shared" si="27"/>
        <v>Clase A++</v>
      </c>
    </row>
    <row r="656" spans="1:22" x14ac:dyDescent="0.2">
      <c r="A656" s="13"/>
      <c r="B656" s="14" t="str">
        <f>IF(A656="","",INDEX(proveedores[Proveedor],MATCH(A656,proveedores[Código],0)))</f>
        <v/>
      </c>
      <c r="C656" s="14" t="str">
        <f>IF(A656="","",INDEX(proveedores[Material],MATCH(A656,proveedores[Código],0)))</f>
        <v/>
      </c>
      <c r="D656" s="15" t="str">
        <f>IF(A656="","",INDEX(proveedores[Perfil],MATCH(A656,proveedores[Código],0)))</f>
        <v/>
      </c>
      <c r="E656" s="15" t="str">
        <f>IF(A656="","",IFERROR(INDEX(proveedores[Nivel de criticidad],MATCH(A656,proveedores[Código],0)),""))</f>
        <v/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5">
        <f t="shared" si="26"/>
        <v>100</v>
      </c>
      <c r="V656" s="12" t="str">
        <f t="shared" si="27"/>
        <v>Clase A++</v>
      </c>
    </row>
    <row r="657" spans="1:22" x14ac:dyDescent="0.2">
      <c r="A657" s="13"/>
      <c r="B657" s="14" t="str">
        <f>IF(A657="","",INDEX(proveedores[Proveedor],MATCH(A657,proveedores[Código],0)))</f>
        <v/>
      </c>
      <c r="C657" s="14" t="str">
        <f>IF(A657="","",INDEX(proveedores[Material],MATCH(A657,proveedores[Código],0)))</f>
        <v/>
      </c>
      <c r="D657" s="15" t="str">
        <f>IF(A657="","",INDEX(proveedores[Perfil],MATCH(A657,proveedores[Código],0)))</f>
        <v/>
      </c>
      <c r="E657" s="15" t="str">
        <f>IF(A657="","",IFERROR(INDEX(proveedores[Nivel de criticidad],MATCH(A657,proveedores[Código],0)),""))</f>
        <v/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5">
        <f t="shared" si="26"/>
        <v>100</v>
      </c>
      <c r="V657" s="12" t="str">
        <f t="shared" si="27"/>
        <v>Clase A++</v>
      </c>
    </row>
    <row r="658" spans="1:22" x14ac:dyDescent="0.2">
      <c r="A658" s="13"/>
      <c r="B658" s="14" t="str">
        <f>IF(A658="","",INDEX(proveedores[Proveedor],MATCH(A658,proveedores[Código],0)))</f>
        <v/>
      </c>
      <c r="C658" s="14" t="str">
        <f>IF(A658="","",INDEX(proveedores[Material],MATCH(A658,proveedores[Código],0)))</f>
        <v/>
      </c>
      <c r="D658" s="15" t="str">
        <f>IF(A658="","",INDEX(proveedores[Perfil],MATCH(A658,proveedores[Código],0)))</f>
        <v/>
      </c>
      <c r="E658" s="15" t="str">
        <f>IF(A658="","",IFERROR(INDEX(proveedores[Nivel de criticidad],MATCH(A658,proveedores[Código],0)),""))</f>
        <v/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5">
        <f t="shared" si="26"/>
        <v>100</v>
      </c>
      <c r="V658" s="12" t="str">
        <f t="shared" si="27"/>
        <v>Clase A++</v>
      </c>
    </row>
    <row r="659" spans="1:22" x14ac:dyDescent="0.2">
      <c r="A659" s="13"/>
      <c r="B659" s="14" t="str">
        <f>IF(A659="","",INDEX(proveedores[Proveedor],MATCH(A659,proveedores[Código],0)))</f>
        <v/>
      </c>
      <c r="C659" s="14" t="str">
        <f>IF(A659="","",INDEX(proveedores[Material],MATCH(A659,proveedores[Código],0)))</f>
        <v/>
      </c>
      <c r="D659" s="15" t="str">
        <f>IF(A659="","",INDEX(proveedores[Perfil],MATCH(A659,proveedores[Código],0)))</f>
        <v/>
      </c>
      <c r="E659" s="15" t="str">
        <f>IF(A659="","",IFERROR(INDEX(proveedores[Nivel de criticidad],MATCH(A659,proveedores[Código],0)),""))</f>
        <v/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5">
        <f t="shared" si="26"/>
        <v>100</v>
      </c>
      <c r="V659" s="12" t="str">
        <f t="shared" si="27"/>
        <v>Clase A++</v>
      </c>
    </row>
    <row r="660" spans="1:22" x14ac:dyDescent="0.2">
      <c r="A660" s="13"/>
      <c r="B660" s="14" t="str">
        <f>IF(A660="","",INDEX(proveedores[Proveedor],MATCH(A660,proveedores[Código],0)))</f>
        <v/>
      </c>
      <c r="C660" s="14" t="str">
        <f>IF(A660="","",INDEX(proveedores[Material],MATCH(A660,proveedores[Código],0)))</f>
        <v/>
      </c>
      <c r="D660" s="15" t="str">
        <f>IF(A660="","",INDEX(proveedores[Perfil],MATCH(A660,proveedores[Código],0)))</f>
        <v/>
      </c>
      <c r="E660" s="15" t="str">
        <f>IF(A660="","",IFERROR(INDEX(proveedores[Nivel de criticidad],MATCH(A660,proveedores[Código],0)),""))</f>
        <v/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5">
        <f t="shared" si="26"/>
        <v>100</v>
      </c>
      <c r="V660" s="12" t="str">
        <f t="shared" si="27"/>
        <v>Clase A++</v>
      </c>
    </row>
    <row r="661" spans="1:22" x14ac:dyDescent="0.2">
      <c r="A661" s="13"/>
      <c r="B661" s="14" t="str">
        <f>IF(A661="","",INDEX(proveedores[Proveedor],MATCH(A661,proveedores[Código],0)))</f>
        <v/>
      </c>
      <c r="C661" s="14" t="str">
        <f>IF(A661="","",INDEX(proveedores[Material],MATCH(A661,proveedores[Código],0)))</f>
        <v/>
      </c>
      <c r="D661" s="15" t="str">
        <f>IF(A661="","",INDEX(proveedores[Perfil],MATCH(A661,proveedores[Código],0)))</f>
        <v/>
      </c>
      <c r="E661" s="15" t="str">
        <f>IF(A661="","",IFERROR(INDEX(proveedores[Nivel de criticidad],MATCH(A661,proveedores[Código],0)),""))</f>
        <v/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5">
        <f t="shared" si="26"/>
        <v>100</v>
      </c>
      <c r="V661" s="12" t="str">
        <f t="shared" si="27"/>
        <v>Clase A++</v>
      </c>
    </row>
    <row r="662" spans="1:22" x14ac:dyDescent="0.2">
      <c r="A662" s="13"/>
      <c r="B662" s="14" t="str">
        <f>IF(A662="","",INDEX(proveedores[Proveedor],MATCH(A662,proveedores[Código],0)))</f>
        <v/>
      </c>
      <c r="C662" s="14" t="str">
        <f>IF(A662="","",INDEX(proveedores[Material],MATCH(A662,proveedores[Código],0)))</f>
        <v/>
      </c>
      <c r="D662" s="15" t="str">
        <f>IF(A662="","",INDEX(proveedores[Perfil],MATCH(A662,proveedores[Código],0)))</f>
        <v/>
      </c>
      <c r="E662" s="15" t="str">
        <f>IF(A662="","",IFERROR(INDEX(proveedores[Nivel de criticidad],MATCH(A662,proveedores[Código],0)),""))</f>
        <v/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5">
        <f t="shared" si="26"/>
        <v>100</v>
      </c>
      <c r="V662" s="12" t="str">
        <f t="shared" si="27"/>
        <v>Clase A++</v>
      </c>
    </row>
    <row r="663" spans="1:22" x14ac:dyDescent="0.2">
      <c r="A663" s="13"/>
      <c r="B663" s="14" t="str">
        <f>IF(A663="","",INDEX(proveedores[Proveedor],MATCH(A663,proveedores[Código],0)))</f>
        <v/>
      </c>
      <c r="C663" s="14" t="str">
        <f>IF(A663="","",INDEX(proveedores[Material],MATCH(A663,proveedores[Código],0)))</f>
        <v/>
      </c>
      <c r="D663" s="15" t="str">
        <f>IF(A663="","",INDEX(proveedores[Perfil],MATCH(A663,proveedores[Código],0)))</f>
        <v/>
      </c>
      <c r="E663" s="15" t="str">
        <f>IF(A663="","",IFERROR(INDEX(proveedores[Nivel de criticidad],MATCH(A663,proveedores[Código],0)),""))</f>
        <v/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5">
        <f t="shared" si="26"/>
        <v>100</v>
      </c>
      <c r="V663" s="12" t="str">
        <f t="shared" si="27"/>
        <v>Clase A++</v>
      </c>
    </row>
    <row r="664" spans="1:22" x14ac:dyDescent="0.2">
      <c r="A664" s="13"/>
      <c r="B664" s="14" t="str">
        <f>IF(A664="","",INDEX(proveedores[Proveedor],MATCH(A664,proveedores[Código],0)))</f>
        <v/>
      </c>
      <c r="C664" s="14" t="str">
        <f>IF(A664="","",INDEX(proveedores[Material],MATCH(A664,proveedores[Código],0)))</f>
        <v/>
      </c>
      <c r="D664" s="15" t="str">
        <f>IF(A664="","",INDEX(proveedores[Perfil],MATCH(A664,proveedores[Código],0)))</f>
        <v/>
      </c>
      <c r="E664" s="15" t="str">
        <f>IF(A664="","",IFERROR(INDEX(proveedores[Nivel de criticidad],MATCH(A664,proveedores[Código],0)),""))</f>
        <v/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5">
        <f t="shared" si="26"/>
        <v>100</v>
      </c>
      <c r="V664" s="12" t="str">
        <f t="shared" si="27"/>
        <v>Clase A++</v>
      </c>
    </row>
    <row r="665" spans="1:22" x14ac:dyDescent="0.2">
      <c r="A665" s="13"/>
      <c r="B665" s="14" t="str">
        <f>IF(A665="","",INDEX(proveedores[Proveedor],MATCH(A665,proveedores[Código],0)))</f>
        <v/>
      </c>
      <c r="C665" s="14" t="str">
        <f>IF(A665="","",INDEX(proveedores[Material],MATCH(A665,proveedores[Código],0)))</f>
        <v/>
      </c>
      <c r="D665" s="15" t="str">
        <f>IF(A665="","",INDEX(proveedores[Perfil],MATCH(A665,proveedores[Código],0)))</f>
        <v/>
      </c>
      <c r="E665" s="15" t="str">
        <f>IF(A665="","",IFERROR(INDEX(proveedores[Nivel de criticidad],MATCH(A665,proveedores[Código],0)),""))</f>
        <v/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5">
        <f t="shared" si="26"/>
        <v>100</v>
      </c>
      <c r="V665" s="12" t="str">
        <f t="shared" si="27"/>
        <v>Clase A++</v>
      </c>
    </row>
    <row r="666" spans="1:22" x14ac:dyDescent="0.2">
      <c r="A666" s="13"/>
      <c r="B666" s="14" t="str">
        <f>IF(A666="","",INDEX(proveedores[Proveedor],MATCH(A666,proveedores[Código],0)))</f>
        <v/>
      </c>
      <c r="C666" s="14" t="str">
        <f>IF(A666="","",INDEX(proveedores[Material],MATCH(A666,proveedores[Código],0)))</f>
        <v/>
      </c>
      <c r="D666" s="15" t="str">
        <f>IF(A666="","",INDEX(proveedores[Perfil],MATCH(A666,proveedores[Código],0)))</f>
        <v/>
      </c>
      <c r="E666" s="15" t="str">
        <f>IF(A666="","",IFERROR(INDEX(proveedores[Nivel de criticidad],MATCH(A666,proveedores[Código],0)),""))</f>
        <v/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5">
        <f t="shared" si="26"/>
        <v>100</v>
      </c>
      <c r="V666" s="12" t="str">
        <f t="shared" si="27"/>
        <v>Clase A++</v>
      </c>
    </row>
    <row r="667" spans="1:22" x14ac:dyDescent="0.2">
      <c r="A667" s="13"/>
      <c r="B667" s="14" t="str">
        <f>IF(A667="","",INDEX(proveedores[Proveedor],MATCH(A667,proveedores[Código],0)))</f>
        <v/>
      </c>
      <c r="C667" s="14" t="str">
        <f>IF(A667="","",INDEX(proveedores[Material],MATCH(A667,proveedores[Código],0)))</f>
        <v/>
      </c>
      <c r="D667" s="15" t="str">
        <f>IF(A667="","",INDEX(proveedores[Perfil],MATCH(A667,proveedores[Código],0)))</f>
        <v/>
      </c>
      <c r="E667" s="15" t="str">
        <f>IF(A667="","",IFERROR(INDEX(proveedores[Nivel de criticidad],MATCH(A667,proveedores[Código],0)),""))</f>
        <v/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5">
        <f t="shared" si="26"/>
        <v>100</v>
      </c>
      <c r="V667" s="12" t="str">
        <f t="shared" si="27"/>
        <v>Clase A++</v>
      </c>
    </row>
    <row r="668" spans="1:22" x14ac:dyDescent="0.2">
      <c r="A668" s="13"/>
      <c r="B668" s="14" t="str">
        <f>IF(A668="","",INDEX(proveedores[Proveedor],MATCH(A668,proveedores[Código],0)))</f>
        <v/>
      </c>
      <c r="C668" s="14" t="str">
        <f>IF(A668="","",INDEX(proveedores[Material],MATCH(A668,proveedores[Código],0)))</f>
        <v/>
      </c>
      <c r="D668" s="15" t="str">
        <f>IF(A668="","",INDEX(proveedores[Perfil],MATCH(A668,proveedores[Código],0)))</f>
        <v/>
      </c>
      <c r="E668" s="15" t="str">
        <f>IF(A668="","",IFERROR(INDEX(proveedores[Nivel de criticidad],MATCH(A668,proveedores[Código],0)),""))</f>
        <v/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5">
        <f t="shared" si="26"/>
        <v>100</v>
      </c>
      <c r="V668" s="12" t="str">
        <f t="shared" si="27"/>
        <v>Clase A++</v>
      </c>
    </row>
    <row r="669" spans="1:22" x14ac:dyDescent="0.2">
      <c r="A669" s="13"/>
      <c r="B669" s="14" t="str">
        <f>IF(A669="","",INDEX(proveedores[Proveedor],MATCH(A669,proveedores[Código],0)))</f>
        <v/>
      </c>
      <c r="C669" s="14" t="str">
        <f>IF(A669="","",INDEX(proveedores[Material],MATCH(A669,proveedores[Código],0)))</f>
        <v/>
      </c>
      <c r="D669" s="15" t="str">
        <f>IF(A669="","",INDEX(proveedores[Perfil],MATCH(A669,proveedores[Código],0)))</f>
        <v/>
      </c>
      <c r="E669" s="15" t="str">
        <f>IF(A669="","",IFERROR(INDEX(proveedores[Nivel de criticidad],MATCH(A669,proveedores[Código],0)),""))</f>
        <v/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5">
        <f t="shared" si="26"/>
        <v>100</v>
      </c>
      <c r="V669" s="12" t="str">
        <f t="shared" si="27"/>
        <v>Clase A++</v>
      </c>
    </row>
    <row r="670" spans="1:22" x14ac:dyDescent="0.2">
      <c r="A670" s="13"/>
      <c r="B670" s="14" t="str">
        <f>IF(A670="","",INDEX(proveedores[Proveedor],MATCH(A670,proveedores[Código],0)))</f>
        <v/>
      </c>
      <c r="C670" s="14" t="str">
        <f>IF(A670="","",INDEX(proveedores[Material],MATCH(A670,proveedores[Código],0)))</f>
        <v/>
      </c>
      <c r="D670" s="15" t="str">
        <f>IF(A670="","",INDEX(proveedores[Perfil],MATCH(A670,proveedores[Código],0)))</f>
        <v/>
      </c>
      <c r="E670" s="15" t="str">
        <f>IF(A670="","",IFERROR(INDEX(proveedores[Nivel de criticidad],MATCH(A670,proveedores[Código],0)),""))</f>
        <v/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5">
        <f t="shared" si="26"/>
        <v>100</v>
      </c>
      <c r="V670" s="12" t="str">
        <f t="shared" si="27"/>
        <v>Clase A++</v>
      </c>
    </row>
    <row r="671" spans="1:22" x14ac:dyDescent="0.2">
      <c r="A671" s="13"/>
      <c r="B671" s="14" t="str">
        <f>IF(A671="","",INDEX(proveedores[Proveedor],MATCH(A671,proveedores[Código],0)))</f>
        <v/>
      </c>
      <c r="C671" s="14" t="str">
        <f>IF(A671="","",INDEX(proveedores[Material],MATCH(A671,proveedores[Código],0)))</f>
        <v/>
      </c>
      <c r="D671" s="15" t="str">
        <f>IF(A671="","",INDEX(proveedores[Perfil],MATCH(A671,proveedores[Código],0)))</f>
        <v/>
      </c>
      <c r="E671" s="15" t="str">
        <f>IF(A671="","",IFERROR(INDEX(proveedores[Nivel de criticidad],MATCH(A671,proveedores[Código],0)),""))</f>
        <v/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5">
        <f t="shared" si="26"/>
        <v>100</v>
      </c>
      <c r="V671" s="12" t="str">
        <f t="shared" si="27"/>
        <v>Clase A++</v>
      </c>
    </row>
    <row r="672" spans="1:22" x14ac:dyDescent="0.2">
      <c r="A672" s="13"/>
      <c r="B672" s="14" t="str">
        <f>IF(A672="","",INDEX(proveedores[Proveedor],MATCH(A672,proveedores[Código],0)))</f>
        <v/>
      </c>
      <c r="C672" s="14" t="str">
        <f>IF(A672="","",INDEX(proveedores[Material],MATCH(A672,proveedores[Código],0)))</f>
        <v/>
      </c>
      <c r="D672" s="15" t="str">
        <f>IF(A672="","",INDEX(proveedores[Perfil],MATCH(A672,proveedores[Código],0)))</f>
        <v/>
      </c>
      <c r="E672" s="15" t="str">
        <f>IF(A672="","",IFERROR(INDEX(proveedores[Nivel de criticidad],MATCH(A672,proveedores[Código],0)),""))</f>
        <v/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5">
        <f t="shared" si="26"/>
        <v>100</v>
      </c>
      <c r="V672" s="12" t="str">
        <f t="shared" si="27"/>
        <v>Clase A++</v>
      </c>
    </row>
    <row r="673" spans="1:22" x14ac:dyDescent="0.2">
      <c r="A673" s="13"/>
      <c r="B673" s="14" t="str">
        <f>IF(A673="","",INDEX(proveedores[Proveedor],MATCH(A673,proveedores[Código],0)))</f>
        <v/>
      </c>
      <c r="C673" s="14" t="str">
        <f>IF(A673="","",INDEX(proveedores[Material],MATCH(A673,proveedores[Código],0)))</f>
        <v/>
      </c>
      <c r="D673" s="15" t="str">
        <f>IF(A673="","",INDEX(proveedores[Perfil],MATCH(A673,proveedores[Código],0)))</f>
        <v/>
      </c>
      <c r="E673" s="15" t="str">
        <f>IF(A673="","",IFERROR(INDEX(proveedores[Nivel de criticidad],MATCH(A673,proveedores[Código],0)),""))</f>
        <v/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5">
        <f t="shared" si="26"/>
        <v>100</v>
      </c>
      <c r="V673" s="12" t="str">
        <f t="shared" si="27"/>
        <v>Clase A++</v>
      </c>
    </row>
    <row r="674" spans="1:22" x14ac:dyDescent="0.2">
      <c r="A674" s="13"/>
      <c r="B674" s="14" t="str">
        <f>IF(A674="","",INDEX(proveedores[Proveedor],MATCH(A674,proveedores[Código],0)))</f>
        <v/>
      </c>
      <c r="C674" s="14" t="str">
        <f>IF(A674="","",INDEX(proveedores[Material],MATCH(A674,proveedores[Código],0)))</f>
        <v/>
      </c>
      <c r="D674" s="15" t="str">
        <f>IF(A674="","",INDEX(proveedores[Perfil],MATCH(A674,proveedores[Código],0)))</f>
        <v/>
      </c>
      <c r="E674" s="15" t="str">
        <f>IF(A674="","",IFERROR(INDEX(proveedores[Nivel de criticidad],MATCH(A674,proveedores[Código],0)),""))</f>
        <v/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5">
        <f t="shared" si="26"/>
        <v>100</v>
      </c>
      <c r="V674" s="12" t="str">
        <f t="shared" si="27"/>
        <v>Clase A++</v>
      </c>
    </row>
    <row r="675" spans="1:22" x14ac:dyDescent="0.2">
      <c r="A675" s="13"/>
      <c r="B675" s="14" t="str">
        <f>IF(A675="","",INDEX(proveedores[Proveedor],MATCH(A675,proveedores[Código],0)))</f>
        <v/>
      </c>
      <c r="C675" s="14" t="str">
        <f>IF(A675="","",INDEX(proveedores[Material],MATCH(A675,proveedores[Código],0)))</f>
        <v/>
      </c>
      <c r="D675" s="15" t="str">
        <f>IF(A675="","",INDEX(proveedores[Perfil],MATCH(A675,proveedores[Código],0)))</f>
        <v/>
      </c>
      <c r="E675" s="15" t="str">
        <f>IF(A675="","",IFERROR(INDEX(proveedores[Nivel de criticidad],MATCH(A675,proveedores[Código],0)),""))</f>
        <v/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5">
        <f t="shared" si="26"/>
        <v>100</v>
      </c>
      <c r="V675" s="12" t="str">
        <f t="shared" si="27"/>
        <v>Clase A++</v>
      </c>
    </row>
    <row r="676" spans="1:22" x14ac:dyDescent="0.2">
      <c r="A676" s="13"/>
      <c r="B676" s="14" t="str">
        <f>IF(A676="","",INDEX(proveedores[Proveedor],MATCH(A676,proveedores[Código],0)))</f>
        <v/>
      </c>
      <c r="C676" s="14" t="str">
        <f>IF(A676="","",INDEX(proveedores[Material],MATCH(A676,proveedores[Código],0)))</f>
        <v/>
      </c>
      <c r="D676" s="15" t="str">
        <f>IF(A676="","",INDEX(proveedores[Perfil],MATCH(A676,proveedores[Código],0)))</f>
        <v/>
      </c>
      <c r="E676" s="15" t="str">
        <f>IF(A676="","",IFERROR(INDEX(proveedores[Nivel de criticidad],MATCH(A676,proveedores[Código],0)),""))</f>
        <v/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5">
        <f t="shared" si="26"/>
        <v>100</v>
      </c>
      <c r="V676" s="12" t="str">
        <f t="shared" si="27"/>
        <v>Clase A++</v>
      </c>
    </row>
    <row r="677" spans="1:22" x14ac:dyDescent="0.2">
      <c r="A677" s="13"/>
      <c r="B677" s="14" t="str">
        <f>IF(A677="","",INDEX(proveedores[Proveedor],MATCH(A677,proveedores[Código],0)))</f>
        <v/>
      </c>
      <c r="C677" s="14" t="str">
        <f>IF(A677="","",INDEX(proveedores[Material],MATCH(A677,proveedores[Código],0)))</f>
        <v/>
      </c>
      <c r="D677" s="15" t="str">
        <f>IF(A677="","",INDEX(proveedores[Perfil],MATCH(A677,proveedores[Código],0)))</f>
        <v/>
      </c>
      <c r="E677" s="15" t="str">
        <f>IF(A677="","",IFERROR(INDEX(proveedores[Nivel de criticidad],MATCH(A677,proveedores[Código],0)),""))</f>
        <v/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5">
        <f t="shared" si="26"/>
        <v>100</v>
      </c>
      <c r="V677" s="12" t="str">
        <f t="shared" si="27"/>
        <v>Clase A++</v>
      </c>
    </row>
    <row r="678" spans="1:22" x14ac:dyDescent="0.2">
      <c r="A678" s="13"/>
      <c r="B678" s="14" t="str">
        <f>IF(A678="","",INDEX(proveedores[Proveedor],MATCH(A678,proveedores[Código],0)))</f>
        <v/>
      </c>
      <c r="C678" s="14" t="str">
        <f>IF(A678="","",INDEX(proveedores[Material],MATCH(A678,proveedores[Código],0)))</f>
        <v/>
      </c>
      <c r="D678" s="15" t="str">
        <f>IF(A678="","",INDEX(proveedores[Perfil],MATCH(A678,proveedores[Código],0)))</f>
        <v/>
      </c>
      <c r="E678" s="15" t="str">
        <f>IF(A678="","",IFERROR(INDEX(proveedores[Nivel de criticidad],MATCH(A678,proveedores[Código],0)),""))</f>
        <v/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5">
        <f t="shared" si="26"/>
        <v>100</v>
      </c>
      <c r="V678" s="12" t="str">
        <f t="shared" si="27"/>
        <v>Clase A++</v>
      </c>
    </row>
    <row r="679" spans="1:22" x14ac:dyDescent="0.2">
      <c r="A679" s="13"/>
      <c r="B679" s="14" t="str">
        <f>IF(A679="","",INDEX(proveedores[Proveedor],MATCH(A679,proveedores[Código],0)))</f>
        <v/>
      </c>
      <c r="C679" s="14" t="str">
        <f>IF(A679="","",INDEX(proveedores[Material],MATCH(A679,proveedores[Código],0)))</f>
        <v/>
      </c>
      <c r="D679" s="15" t="str">
        <f>IF(A679="","",INDEX(proveedores[Perfil],MATCH(A679,proveedores[Código],0)))</f>
        <v/>
      </c>
      <c r="E679" s="15" t="str">
        <f>IF(A679="","",IFERROR(INDEX(proveedores[Nivel de criticidad],MATCH(A679,proveedores[Código],0)),""))</f>
        <v/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5">
        <f t="shared" si="26"/>
        <v>100</v>
      </c>
      <c r="V679" s="12" t="str">
        <f t="shared" si="27"/>
        <v>Clase A++</v>
      </c>
    </row>
    <row r="680" spans="1:22" x14ac:dyDescent="0.2">
      <c r="A680" s="13"/>
      <c r="B680" s="14" t="str">
        <f>IF(A680="","",INDEX(proveedores[Proveedor],MATCH(A680,proveedores[Código],0)))</f>
        <v/>
      </c>
      <c r="C680" s="14" t="str">
        <f>IF(A680="","",INDEX(proveedores[Material],MATCH(A680,proveedores[Código],0)))</f>
        <v/>
      </c>
      <c r="D680" s="15" t="str">
        <f>IF(A680="","",INDEX(proveedores[Perfil],MATCH(A680,proveedores[Código],0)))</f>
        <v/>
      </c>
      <c r="E680" s="15" t="str">
        <f>IF(A680="","",IFERROR(INDEX(proveedores[Nivel de criticidad],MATCH(A680,proveedores[Código],0)),""))</f>
        <v/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5">
        <f t="shared" si="26"/>
        <v>100</v>
      </c>
      <c r="V680" s="12" t="str">
        <f t="shared" si="27"/>
        <v>Clase A++</v>
      </c>
    </row>
    <row r="681" spans="1:22" x14ac:dyDescent="0.2">
      <c r="A681" s="13"/>
      <c r="B681" s="14" t="str">
        <f>IF(A681="","",INDEX(proveedores[Proveedor],MATCH(A681,proveedores[Código],0)))</f>
        <v/>
      </c>
      <c r="C681" s="14" t="str">
        <f>IF(A681="","",INDEX(proveedores[Material],MATCH(A681,proveedores[Código],0)))</f>
        <v/>
      </c>
      <c r="D681" s="15" t="str">
        <f>IF(A681="","",INDEX(proveedores[Perfil],MATCH(A681,proveedores[Código],0)))</f>
        <v/>
      </c>
      <c r="E681" s="15" t="str">
        <f>IF(A681="","",IFERROR(INDEX(proveedores[Nivel de criticidad],MATCH(A681,proveedores[Código],0)),""))</f>
        <v/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5">
        <f t="shared" si="26"/>
        <v>100</v>
      </c>
      <c r="V681" s="12" t="str">
        <f t="shared" si="27"/>
        <v>Clase A++</v>
      </c>
    </row>
    <row r="682" spans="1:22" x14ac:dyDescent="0.2">
      <c r="A682" s="13"/>
      <c r="B682" s="14" t="str">
        <f>IF(A682="","",INDEX(proveedores[Proveedor],MATCH(A682,proveedores[Código],0)))</f>
        <v/>
      </c>
      <c r="C682" s="14" t="str">
        <f>IF(A682="","",INDEX(proveedores[Material],MATCH(A682,proveedores[Código],0)))</f>
        <v/>
      </c>
      <c r="D682" s="15" t="str">
        <f>IF(A682="","",INDEX(proveedores[Perfil],MATCH(A682,proveedores[Código],0)))</f>
        <v/>
      </c>
      <c r="E682" s="15" t="str">
        <f>IF(A682="","",IFERROR(INDEX(proveedores[Nivel de criticidad],MATCH(A682,proveedores[Código],0)),""))</f>
        <v/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5">
        <f t="shared" si="26"/>
        <v>100</v>
      </c>
      <c r="V682" s="12" t="str">
        <f t="shared" si="27"/>
        <v>Clase A++</v>
      </c>
    </row>
    <row r="683" spans="1:22" x14ac:dyDescent="0.2">
      <c r="A683" s="13"/>
      <c r="B683" s="14" t="str">
        <f>IF(A683="","",INDEX(proveedores[Proveedor],MATCH(A683,proveedores[Código],0)))</f>
        <v/>
      </c>
      <c r="C683" s="14" t="str">
        <f>IF(A683="","",INDEX(proveedores[Material],MATCH(A683,proveedores[Código],0)))</f>
        <v/>
      </c>
      <c r="D683" s="15" t="str">
        <f>IF(A683="","",INDEX(proveedores[Perfil],MATCH(A683,proveedores[Código],0)))</f>
        <v/>
      </c>
      <c r="E683" s="15" t="str">
        <f>IF(A683="","",IFERROR(INDEX(proveedores[Nivel de criticidad],MATCH(A683,proveedores[Código],0)),""))</f>
        <v/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5">
        <f t="shared" si="26"/>
        <v>100</v>
      </c>
      <c r="V683" s="12" t="str">
        <f t="shared" si="27"/>
        <v>Clase A++</v>
      </c>
    </row>
    <row r="684" spans="1:22" x14ac:dyDescent="0.2">
      <c r="A684" s="13"/>
      <c r="B684" s="14" t="str">
        <f>IF(A684="","",INDEX(proveedores[Proveedor],MATCH(A684,proveedores[Código],0)))</f>
        <v/>
      </c>
      <c r="C684" s="14" t="str">
        <f>IF(A684="","",INDEX(proveedores[Material],MATCH(A684,proveedores[Código],0)))</f>
        <v/>
      </c>
      <c r="D684" s="15" t="str">
        <f>IF(A684="","",INDEX(proveedores[Perfil],MATCH(A684,proveedores[Código],0)))</f>
        <v/>
      </c>
      <c r="E684" s="15" t="str">
        <f>IF(A684="","",IFERROR(INDEX(proveedores[Nivel de criticidad],MATCH(A684,proveedores[Código],0)),""))</f>
        <v/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5">
        <f t="shared" si="26"/>
        <v>100</v>
      </c>
      <c r="V684" s="12" t="str">
        <f t="shared" si="27"/>
        <v>Clase A++</v>
      </c>
    </row>
    <row r="685" spans="1:22" x14ac:dyDescent="0.2">
      <c r="A685" s="13"/>
      <c r="B685" s="14" t="str">
        <f>IF(A685="","",INDEX(proveedores[Proveedor],MATCH(A685,proveedores[Código],0)))</f>
        <v/>
      </c>
      <c r="C685" s="14" t="str">
        <f>IF(A685="","",INDEX(proveedores[Material],MATCH(A685,proveedores[Código],0)))</f>
        <v/>
      </c>
      <c r="D685" s="15" t="str">
        <f>IF(A685="","",INDEX(proveedores[Perfil],MATCH(A685,proveedores[Código],0)))</f>
        <v/>
      </c>
      <c r="E685" s="15" t="str">
        <f>IF(A685="","",IFERROR(INDEX(proveedores[Nivel de criticidad],MATCH(A685,proveedores[Código],0)),""))</f>
        <v/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5">
        <f t="shared" si="26"/>
        <v>100</v>
      </c>
      <c r="V685" s="12" t="str">
        <f t="shared" si="27"/>
        <v>Clase A++</v>
      </c>
    </row>
    <row r="686" spans="1:22" x14ac:dyDescent="0.2">
      <c r="A686" s="13"/>
      <c r="B686" s="14" t="str">
        <f>IF(A686="","",INDEX(proveedores[Proveedor],MATCH(A686,proveedores[Código],0)))</f>
        <v/>
      </c>
      <c r="C686" s="14" t="str">
        <f>IF(A686="","",INDEX(proveedores[Material],MATCH(A686,proveedores[Código],0)))</f>
        <v/>
      </c>
      <c r="D686" s="15" t="str">
        <f>IF(A686="","",INDEX(proveedores[Perfil],MATCH(A686,proveedores[Código],0)))</f>
        <v/>
      </c>
      <c r="E686" s="15" t="str">
        <f>IF(A686="","",IFERROR(INDEX(proveedores[Nivel de criticidad],MATCH(A686,proveedores[Código],0)),""))</f>
        <v/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5">
        <f t="shared" si="26"/>
        <v>100</v>
      </c>
      <c r="V686" s="12" t="str">
        <f t="shared" si="27"/>
        <v>Clase A++</v>
      </c>
    </row>
    <row r="687" spans="1:22" x14ac:dyDescent="0.2">
      <c r="A687" s="13"/>
      <c r="B687" s="14" t="str">
        <f>IF(A687="","",INDEX(proveedores[Proveedor],MATCH(A687,proveedores[Código],0)))</f>
        <v/>
      </c>
      <c r="C687" s="14" t="str">
        <f>IF(A687="","",INDEX(proveedores[Material],MATCH(A687,proveedores[Código],0)))</f>
        <v/>
      </c>
      <c r="D687" s="15" t="str">
        <f>IF(A687="","",INDEX(proveedores[Perfil],MATCH(A687,proveedores[Código],0)))</f>
        <v/>
      </c>
      <c r="E687" s="15" t="str">
        <f>IF(A687="","",IFERROR(INDEX(proveedores[Nivel de criticidad],MATCH(A687,proveedores[Código],0)),""))</f>
        <v/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5">
        <f t="shared" si="26"/>
        <v>100</v>
      </c>
      <c r="V687" s="12" t="str">
        <f t="shared" si="27"/>
        <v>Clase A++</v>
      </c>
    </row>
    <row r="688" spans="1:22" x14ac:dyDescent="0.2">
      <c r="A688" s="13"/>
      <c r="B688" s="14" t="str">
        <f>IF(A688="","",INDEX(proveedores[Proveedor],MATCH(A688,proveedores[Código],0)))</f>
        <v/>
      </c>
      <c r="C688" s="14" t="str">
        <f>IF(A688="","",INDEX(proveedores[Material],MATCH(A688,proveedores[Código],0)))</f>
        <v/>
      </c>
      <c r="D688" s="15" t="str">
        <f>IF(A688="","",INDEX(proveedores[Perfil],MATCH(A688,proveedores[Código],0)))</f>
        <v/>
      </c>
      <c r="E688" s="15" t="str">
        <f>IF(A688="","",IFERROR(INDEX(proveedores[Nivel de criticidad],MATCH(A688,proveedores[Código],0)),""))</f>
        <v/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5">
        <f t="shared" si="26"/>
        <v>100</v>
      </c>
      <c r="V688" s="12" t="str">
        <f t="shared" si="27"/>
        <v>Clase A++</v>
      </c>
    </row>
    <row r="689" spans="1:22" x14ac:dyDescent="0.2">
      <c r="A689" s="13"/>
      <c r="B689" s="14" t="str">
        <f>IF(A689="","",INDEX(proveedores[Proveedor],MATCH(A689,proveedores[Código],0)))</f>
        <v/>
      </c>
      <c r="C689" s="14" t="str">
        <f>IF(A689="","",INDEX(proveedores[Material],MATCH(A689,proveedores[Código],0)))</f>
        <v/>
      </c>
      <c r="D689" s="15" t="str">
        <f>IF(A689="","",INDEX(proveedores[Perfil],MATCH(A689,proveedores[Código],0)))</f>
        <v/>
      </c>
      <c r="E689" s="15" t="str">
        <f>IF(A689="","",IFERROR(INDEX(proveedores[Nivel de criticidad],MATCH(A689,proveedores[Código],0)),""))</f>
        <v/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5">
        <f t="shared" si="26"/>
        <v>100</v>
      </c>
      <c r="V689" s="12" t="str">
        <f t="shared" si="27"/>
        <v>Clase A++</v>
      </c>
    </row>
    <row r="690" spans="1:22" x14ac:dyDescent="0.2">
      <c r="A690" s="13"/>
      <c r="B690" s="14" t="str">
        <f>IF(A690="","",INDEX(proveedores[Proveedor],MATCH(A690,proveedores[Código],0)))</f>
        <v/>
      </c>
      <c r="C690" s="14" t="str">
        <f>IF(A690="","",INDEX(proveedores[Material],MATCH(A690,proveedores[Código],0)))</f>
        <v/>
      </c>
      <c r="D690" s="15" t="str">
        <f>IF(A690="","",INDEX(proveedores[Perfil],MATCH(A690,proveedores[Código],0)))</f>
        <v/>
      </c>
      <c r="E690" s="15" t="str">
        <f>IF(A690="","",IFERROR(INDEX(proveedores[Nivel de criticidad],MATCH(A690,proveedores[Código],0)),""))</f>
        <v/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5">
        <f t="shared" si="26"/>
        <v>100</v>
      </c>
      <c r="V690" s="12" t="str">
        <f t="shared" si="27"/>
        <v>Clase A++</v>
      </c>
    </row>
    <row r="691" spans="1:22" x14ac:dyDescent="0.2">
      <c r="A691" s="13"/>
      <c r="B691" s="14" t="str">
        <f>IF(A691="","",INDEX(proveedores[Proveedor],MATCH(A691,proveedores[Código],0)))</f>
        <v/>
      </c>
      <c r="C691" s="14" t="str">
        <f>IF(A691="","",INDEX(proveedores[Material],MATCH(A691,proveedores[Código],0)))</f>
        <v/>
      </c>
      <c r="D691" s="15" t="str">
        <f>IF(A691="","",INDEX(proveedores[Perfil],MATCH(A691,proveedores[Código],0)))</f>
        <v/>
      </c>
      <c r="E691" s="15" t="str">
        <f>IF(A691="","",IFERROR(INDEX(proveedores[Nivel de criticidad],MATCH(A691,proveedores[Código],0)),""))</f>
        <v/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5">
        <f t="shared" si="26"/>
        <v>100</v>
      </c>
      <c r="V691" s="12" t="str">
        <f t="shared" si="27"/>
        <v>Clase A++</v>
      </c>
    </row>
    <row r="692" spans="1:22" x14ac:dyDescent="0.2">
      <c r="A692" s="13"/>
      <c r="B692" s="14" t="str">
        <f>IF(A692="","",INDEX(proveedores[Proveedor],MATCH(A692,proveedores[Código],0)))</f>
        <v/>
      </c>
      <c r="C692" s="14" t="str">
        <f>IF(A692="","",INDEX(proveedores[Material],MATCH(A692,proveedores[Código],0)))</f>
        <v/>
      </c>
      <c r="D692" s="15" t="str">
        <f>IF(A692="","",INDEX(proveedores[Perfil],MATCH(A692,proveedores[Código],0)))</f>
        <v/>
      </c>
      <c r="E692" s="15" t="str">
        <f>IF(A692="","",IFERROR(INDEX(proveedores[Nivel de criticidad],MATCH(A692,proveedores[Código],0)),""))</f>
        <v/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5">
        <f t="shared" si="26"/>
        <v>100</v>
      </c>
      <c r="V692" s="12" t="str">
        <f t="shared" si="27"/>
        <v>Clase A++</v>
      </c>
    </row>
    <row r="693" spans="1:22" x14ac:dyDescent="0.2">
      <c r="A693" s="13"/>
      <c r="B693" s="14" t="str">
        <f>IF(A693="","",INDEX(proveedores[Proveedor],MATCH(A693,proveedores[Código],0)))</f>
        <v/>
      </c>
      <c r="C693" s="14" t="str">
        <f>IF(A693="","",INDEX(proveedores[Material],MATCH(A693,proveedores[Código],0)))</f>
        <v/>
      </c>
      <c r="D693" s="15" t="str">
        <f>IF(A693="","",INDEX(proveedores[Perfil],MATCH(A693,proveedores[Código],0)))</f>
        <v/>
      </c>
      <c r="E693" s="15" t="str">
        <f>IF(A693="","",IFERROR(INDEX(proveedores[Nivel de criticidad],MATCH(A693,proveedores[Código],0)),""))</f>
        <v/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5">
        <f t="shared" si="26"/>
        <v>100</v>
      </c>
      <c r="V693" s="12" t="str">
        <f t="shared" si="27"/>
        <v>Clase A++</v>
      </c>
    </row>
    <row r="694" spans="1:22" x14ac:dyDescent="0.2">
      <c r="A694" s="13"/>
      <c r="B694" s="14" t="str">
        <f>IF(A694="","",INDEX(proveedores[Proveedor],MATCH(A694,proveedores[Código],0)))</f>
        <v/>
      </c>
      <c r="C694" s="14" t="str">
        <f>IF(A694="","",INDEX(proveedores[Material],MATCH(A694,proveedores[Código],0)))</f>
        <v/>
      </c>
      <c r="D694" s="15" t="str">
        <f>IF(A694="","",INDEX(proveedores[Perfil],MATCH(A694,proveedores[Código],0)))</f>
        <v/>
      </c>
      <c r="E694" s="15" t="str">
        <f>IF(A694="","",IFERROR(INDEX(proveedores[Nivel de criticidad],MATCH(A694,proveedores[Código],0)),""))</f>
        <v/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5">
        <f t="shared" si="26"/>
        <v>100</v>
      </c>
      <c r="V694" s="12" t="str">
        <f t="shared" si="27"/>
        <v>Clase A++</v>
      </c>
    </row>
    <row r="695" spans="1:22" x14ac:dyDescent="0.2">
      <c r="A695" s="13"/>
      <c r="B695" s="14" t="str">
        <f>IF(A695="","",INDEX(proveedores[Proveedor],MATCH(A695,proveedores[Código],0)))</f>
        <v/>
      </c>
      <c r="C695" s="14" t="str">
        <f>IF(A695="","",INDEX(proveedores[Material],MATCH(A695,proveedores[Código],0)))</f>
        <v/>
      </c>
      <c r="D695" s="15" t="str">
        <f>IF(A695="","",INDEX(proveedores[Perfil],MATCH(A695,proveedores[Código],0)))</f>
        <v/>
      </c>
      <c r="E695" s="15" t="str">
        <f>IF(A695="","",IFERROR(INDEX(proveedores[Nivel de criticidad],MATCH(A695,proveedores[Código],0)),""))</f>
        <v/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5">
        <f t="shared" si="26"/>
        <v>100</v>
      </c>
      <c r="V695" s="12" t="str">
        <f t="shared" si="27"/>
        <v>Clase A++</v>
      </c>
    </row>
    <row r="696" spans="1:22" x14ac:dyDescent="0.2">
      <c r="A696" s="13"/>
      <c r="B696" s="14" t="str">
        <f>IF(A696="","",INDEX(proveedores[Proveedor],MATCH(A696,proveedores[Código],0)))</f>
        <v/>
      </c>
      <c r="C696" s="14" t="str">
        <f>IF(A696="","",INDEX(proveedores[Material],MATCH(A696,proveedores[Código],0)))</f>
        <v/>
      </c>
      <c r="D696" s="15" t="str">
        <f>IF(A696="","",INDEX(proveedores[Perfil],MATCH(A696,proveedores[Código],0)))</f>
        <v/>
      </c>
      <c r="E696" s="15" t="str">
        <f>IF(A696="","",IFERROR(INDEX(proveedores[Nivel de criticidad],MATCH(A696,proveedores[Código],0)),""))</f>
        <v/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5">
        <f t="shared" si="26"/>
        <v>100</v>
      </c>
      <c r="V696" s="12" t="str">
        <f t="shared" si="27"/>
        <v>Clase A++</v>
      </c>
    </row>
    <row r="697" spans="1:22" x14ac:dyDescent="0.2">
      <c r="A697" s="13"/>
      <c r="B697" s="14" t="str">
        <f>IF(A697="","",INDEX(proveedores[Proveedor],MATCH(A697,proveedores[Código],0)))</f>
        <v/>
      </c>
      <c r="C697" s="14" t="str">
        <f>IF(A697="","",INDEX(proveedores[Material],MATCH(A697,proveedores[Código],0)))</f>
        <v/>
      </c>
      <c r="D697" s="15" t="str">
        <f>IF(A697="","",INDEX(proveedores[Perfil],MATCH(A697,proveedores[Código],0)))</f>
        <v/>
      </c>
      <c r="E697" s="15" t="str">
        <f>IF(A697="","",IFERROR(INDEX(proveedores[Nivel de criticidad],MATCH(A697,proveedores[Código],0)),""))</f>
        <v/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5">
        <f t="shared" si="26"/>
        <v>100</v>
      </c>
      <c r="V697" s="12" t="str">
        <f t="shared" si="27"/>
        <v>Clase A++</v>
      </c>
    </row>
    <row r="698" spans="1:22" x14ac:dyDescent="0.2">
      <c r="A698" s="13"/>
      <c r="B698" s="14" t="str">
        <f>IF(A698="","",INDEX(proveedores[Proveedor],MATCH(A698,proveedores[Código],0)))</f>
        <v/>
      </c>
      <c r="C698" s="14" t="str">
        <f>IF(A698="","",INDEX(proveedores[Material],MATCH(A698,proveedores[Código],0)))</f>
        <v/>
      </c>
      <c r="D698" s="15" t="str">
        <f>IF(A698="","",INDEX(proveedores[Perfil],MATCH(A698,proveedores[Código],0)))</f>
        <v/>
      </c>
      <c r="E698" s="15" t="str">
        <f>IF(A698="","",IFERROR(INDEX(proveedores[Nivel de criticidad],MATCH(A698,proveedores[Código],0)),""))</f>
        <v/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5">
        <f t="shared" si="26"/>
        <v>100</v>
      </c>
      <c r="V698" s="12" t="str">
        <f t="shared" si="27"/>
        <v>Clase A++</v>
      </c>
    </row>
    <row r="699" spans="1:22" x14ac:dyDescent="0.2">
      <c r="A699" s="13"/>
      <c r="B699" s="14" t="str">
        <f>IF(A699="","",INDEX(proveedores[Proveedor],MATCH(A699,proveedores[Código],0)))</f>
        <v/>
      </c>
      <c r="C699" s="14" t="str">
        <f>IF(A699="","",INDEX(proveedores[Material],MATCH(A699,proveedores[Código],0)))</f>
        <v/>
      </c>
      <c r="D699" s="15" t="str">
        <f>IF(A699="","",INDEX(proveedores[Perfil],MATCH(A699,proveedores[Código],0)))</f>
        <v/>
      </c>
      <c r="E699" s="15" t="str">
        <f>IF(A699="","",IFERROR(INDEX(proveedores[Nivel de criticidad],MATCH(A699,proveedores[Código],0)),""))</f>
        <v/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5">
        <f t="shared" si="26"/>
        <v>100</v>
      </c>
      <c r="V699" s="12" t="str">
        <f t="shared" si="27"/>
        <v>Clase A++</v>
      </c>
    </row>
    <row r="700" spans="1:22" x14ac:dyDescent="0.2">
      <c r="A700" s="13"/>
      <c r="B700" s="14" t="str">
        <f>IF(A700="","",INDEX(proveedores[Proveedor],MATCH(A700,proveedores[Código],0)))</f>
        <v/>
      </c>
      <c r="C700" s="14" t="str">
        <f>IF(A700="","",INDEX(proveedores[Material],MATCH(A700,proveedores[Código],0)))</f>
        <v/>
      </c>
      <c r="D700" s="15" t="str">
        <f>IF(A700="","",INDEX(proveedores[Perfil],MATCH(A700,proveedores[Código],0)))</f>
        <v/>
      </c>
      <c r="E700" s="15" t="str">
        <f>IF(A700="","",IFERROR(INDEX(proveedores[Nivel de criticidad],MATCH(A700,proveedores[Código],0)),""))</f>
        <v/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5">
        <f t="shared" si="26"/>
        <v>100</v>
      </c>
      <c r="V700" s="12" t="str">
        <f t="shared" si="27"/>
        <v>Clase A++</v>
      </c>
    </row>
    <row r="701" spans="1:22" x14ac:dyDescent="0.2">
      <c r="A701" s="13"/>
      <c r="B701" s="14" t="str">
        <f>IF(A701="","",INDEX(proveedores[Proveedor],MATCH(A701,proveedores[Código],0)))</f>
        <v/>
      </c>
      <c r="C701" s="14" t="str">
        <f>IF(A701="","",INDEX(proveedores[Material],MATCH(A701,proveedores[Código],0)))</f>
        <v/>
      </c>
      <c r="D701" s="15" t="str">
        <f>IF(A701="","",INDEX(proveedores[Perfil],MATCH(A701,proveedores[Código],0)))</f>
        <v/>
      </c>
      <c r="E701" s="15" t="str">
        <f>IF(A701="","",IFERROR(INDEX(proveedores[Nivel de criticidad],MATCH(A701,proveedores[Código],0)),""))</f>
        <v/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5">
        <f t="shared" si="26"/>
        <v>100</v>
      </c>
      <c r="V701" s="12" t="str">
        <f t="shared" si="27"/>
        <v>Clase A++</v>
      </c>
    </row>
    <row r="702" spans="1:22" x14ac:dyDescent="0.2">
      <c r="A702" s="13"/>
      <c r="B702" s="14" t="str">
        <f>IF(A702="","",INDEX(proveedores[Proveedor],MATCH(A702,proveedores[Código],0)))</f>
        <v/>
      </c>
      <c r="C702" s="14" t="str">
        <f>IF(A702="","",INDEX(proveedores[Material],MATCH(A702,proveedores[Código],0)))</f>
        <v/>
      </c>
      <c r="D702" s="15" t="str">
        <f>IF(A702="","",INDEX(proveedores[Perfil],MATCH(A702,proveedores[Código],0)))</f>
        <v/>
      </c>
      <c r="E702" s="15" t="str">
        <f>IF(A702="","",IFERROR(INDEX(proveedores[Nivel de criticidad],MATCH(A702,proveedores[Código],0)),""))</f>
        <v/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5">
        <f t="shared" si="26"/>
        <v>100</v>
      </c>
      <c r="V702" s="12" t="str">
        <f t="shared" si="27"/>
        <v>Clase A++</v>
      </c>
    </row>
    <row r="703" spans="1:22" x14ac:dyDescent="0.2">
      <c r="A703" s="13"/>
      <c r="B703" s="14" t="str">
        <f>IF(A703="","",INDEX(proveedores[Proveedor],MATCH(A703,proveedores[Código],0)))</f>
        <v/>
      </c>
      <c r="C703" s="14" t="str">
        <f>IF(A703="","",INDEX(proveedores[Material],MATCH(A703,proveedores[Código],0)))</f>
        <v/>
      </c>
      <c r="D703" s="15" t="str">
        <f>IF(A703="","",INDEX(proveedores[Perfil],MATCH(A703,proveedores[Código],0)))</f>
        <v/>
      </c>
      <c r="E703" s="15" t="str">
        <f>IF(A703="","",IFERROR(INDEX(proveedores[Nivel de criticidad],MATCH(A703,proveedores[Código],0)),""))</f>
        <v/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5">
        <f t="shared" si="26"/>
        <v>100</v>
      </c>
      <c r="V703" s="12" t="str">
        <f t="shared" si="27"/>
        <v>Clase A++</v>
      </c>
    </row>
    <row r="704" spans="1:22" x14ac:dyDescent="0.2">
      <c r="A704" s="13"/>
      <c r="B704" s="14" t="str">
        <f>IF(A704="","",INDEX(proveedores[Proveedor],MATCH(A704,proveedores[Código],0)))</f>
        <v/>
      </c>
      <c r="C704" s="14" t="str">
        <f>IF(A704="","",INDEX(proveedores[Material],MATCH(A704,proveedores[Código],0)))</f>
        <v/>
      </c>
      <c r="D704" s="15" t="str">
        <f>IF(A704="","",INDEX(proveedores[Perfil],MATCH(A704,proveedores[Código],0)))</f>
        <v/>
      </c>
      <c r="E704" s="15" t="str">
        <f>IF(A704="","",IFERROR(INDEX(proveedores[Nivel de criticidad],MATCH(A704,proveedores[Código],0)),""))</f>
        <v/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5">
        <f t="shared" si="26"/>
        <v>100</v>
      </c>
      <c r="V704" s="12" t="str">
        <f t="shared" si="27"/>
        <v>Clase A++</v>
      </c>
    </row>
    <row r="705" spans="1:22" x14ac:dyDescent="0.2">
      <c r="A705" s="13"/>
      <c r="B705" s="14" t="str">
        <f>IF(A705="","",INDEX(proveedores[Proveedor],MATCH(A705,proveedores[Código],0)))</f>
        <v/>
      </c>
      <c r="C705" s="14" t="str">
        <f>IF(A705="","",INDEX(proveedores[Material],MATCH(A705,proveedores[Código],0)))</f>
        <v/>
      </c>
      <c r="D705" s="15" t="str">
        <f>IF(A705="","",INDEX(proveedores[Perfil],MATCH(A705,proveedores[Código],0)))</f>
        <v/>
      </c>
      <c r="E705" s="15" t="str">
        <f>IF(A705="","",IFERROR(INDEX(proveedores[Nivel de criticidad],MATCH(A705,proveedores[Código],0)),""))</f>
        <v/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5">
        <f t="shared" si="26"/>
        <v>100</v>
      </c>
      <c r="V705" s="12" t="str">
        <f t="shared" si="27"/>
        <v>Clase A++</v>
      </c>
    </row>
    <row r="706" spans="1:22" x14ac:dyDescent="0.2">
      <c r="A706" s="13"/>
      <c r="B706" s="14" t="str">
        <f>IF(A706="","",INDEX(proveedores[Proveedor],MATCH(A706,proveedores[Código],0)))</f>
        <v/>
      </c>
      <c r="C706" s="14" t="str">
        <f>IF(A706="","",INDEX(proveedores[Material],MATCH(A706,proveedores[Código],0)))</f>
        <v/>
      </c>
      <c r="D706" s="15" t="str">
        <f>IF(A706="","",INDEX(proveedores[Perfil],MATCH(A706,proveedores[Código],0)))</f>
        <v/>
      </c>
      <c r="E706" s="15" t="str">
        <f>IF(A706="","",IFERROR(INDEX(proveedores[Nivel de criticidad],MATCH(A706,proveedores[Código],0)),""))</f>
        <v/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5">
        <f t="shared" si="26"/>
        <v>100</v>
      </c>
      <c r="V706" s="12" t="str">
        <f t="shared" si="27"/>
        <v>Clase A++</v>
      </c>
    </row>
    <row r="707" spans="1:22" x14ac:dyDescent="0.2">
      <c r="A707" s="13"/>
      <c r="B707" s="14" t="str">
        <f>IF(A707="","",INDEX(proveedores[Proveedor],MATCH(A707,proveedores[Código],0)))</f>
        <v/>
      </c>
      <c r="C707" s="14" t="str">
        <f>IF(A707="","",INDEX(proveedores[Material],MATCH(A707,proveedores[Código],0)))</f>
        <v/>
      </c>
      <c r="D707" s="15" t="str">
        <f>IF(A707="","",INDEX(proveedores[Perfil],MATCH(A707,proveedores[Código],0)))</f>
        <v/>
      </c>
      <c r="E707" s="15" t="str">
        <f>IF(A707="","",IFERROR(INDEX(proveedores[Nivel de criticidad],MATCH(A707,proveedores[Código],0)),""))</f>
        <v/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5">
        <f t="shared" si="26"/>
        <v>100</v>
      </c>
      <c r="V707" s="12" t="str">
        <f t="shared" si="27"/>
        <v>Clase A++</v>
      </c>
    </row>
    <row r="708" spans="1:22" x14ac:dyDescent="0.2">
      <c r="A708" s="13"/>
      <c r="B708" s="14" t="str">
        <f>IF(A708="","",INDEX(proveedores[Proveedor],MATCH(A708,proveedores[Código],0)))</f>
        <v/>
      </c>
      <c r="C708" s="14" t="str">
        <f>IF(A708="","",INDEX(proveedores[Material],MATCH(A708,proveedores[Código],0)))</f>
        <v/>
      </c>
      <c r="D708" s="15" t="str">
        <f>IF(A708="","",INDEX(proveedores[Perfil],MATCH(A708,proveedores[Código],0)))</f>
        <v/>
      </c>
      <c r="E708" s="15" t="str">
        <f>IF(A708="","",IFERROR(INDEX(proveedores[Nivel de criticidad],MATCH(A708,proveedores[Código],0)),""))</f>
        <v/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5">
        <f t="shared" si="26"/>
        <v>100</v>
      </c>
      <c r="V708" s="12" t="str">
        <f t="shared" si="27"/>
        <v>Clase A++</v>
      </c>
    </row>
    <row r="709" spans="1:22" x14ac:dyDescent="0.2">
      <c r="A709" s="13"/>
      <c r="B709" s="14" t="str">
        <f>IF(A709="","",INDEX(proveedores[Proveedor],MATCH(A709,proveedores[Código],0)))</f>
        <v/>
      </c>
      <c r="C709" s="14" t="str">
        <f>IF(A709="","",INDEX(proveedores[Material],MATCH(A709,proveedores[Código],0)))</f>
        <v/>
      </c>
      <c r="D709" s="15" t="str">
        <f>IF(A709="","",INDEX(proveedores[Perfil],MATCH(A709,proveedores[Código],0)))</f>
        <v/>
      </c>
      <c r="E709" s="15" t="str">
        <f>IF(A709="","",IFERROR(INDEX(proveedores[Nivel de criticidad],MATCH(A709,proveedores[Código],0)),""))</f>
        <v/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5">
        <f t="shared" si="26"/>
        <v>100</v>
      </c>
      <c r="V709" s="12" t="str">
        <f t="shared" si="27"/>
        <v>Clase A++</v>
      </c>
    </row>
    <row r="710" spans="1:22" x14ac:dyDescent="0.2">
      <c r="A710" s="13"/>
      <c r="B710" s="14" t="str">
        <f>IF(A710="","",INDEX(proveedores[Proveedor],MATCH(A710,proveedores[Código],0)))</f>
        <v/>
      </c>
      <c r="C710" s="14" t="str">
        <f>IF(A710="","",INDEX(proveedores[Material],MATCH(A710,proveedores[Código],0)))</f>
        <v/>
      </c>
      <c r="D710" s="15" t="str">
        <f>IF(A710="","",INDEX(proveedores[Perfil],MATCH(A710,proveedores[Código],0)))</f>
        <v/>
      </c>
      <c r="E710" s="15" t="str">
        <f>IF(A710="","",IFERROR(INDEX(proveedores[Nivel de criticidad],MATCH(A710,proveedores[Código],0)),""))</f>
        <v/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5">
        <f t="shared" ref="U710:U773" si="28">IF(D710="Internacional", MIN(IF(((F710*10)+(G710*3)+(H710*4)+(I710*5)+(J710*8)+(O710*5)+(P710*2)+IF(L710="N/A",0,(L710*10)+(M710*5)+(N710*3)))&gt;0,98,100), ((MAX(0, 30 - (F710*10) - (G710*3))/30)*45) + ((MAX(0, 25 - (H710*4) - (I710*5) - (J710*8) - (K710*5))/25)*35) + ((MAX(0, 15 - (O710*5) - (P710*2))/15)*20) + (IF(Q710="N/A",0,Q710)*2.5) + (IF(R710="N/A",0,R710)*2.5) + (IF(S710="N/A",0,S710)*2.5) + (IF(T710="N/A",0,T710)*2.5)), IF(D710="Local Insumos", MIN(IF(((F710*10)+(G710*3)+(H710*4)+(I710*5)+(J710*8)+(O710*5)+(P710*2)+IF(L710="N/A",0,(L710*10)+(M710*5)+(N710*3)))&gt;0,98,100), ((MAX(0, 30 - (F710*10) - (G710*3))/30)*35) + ((MAX(0, 25 - (H710*4) - (I710*5) - (J710*8) - (K710*5))/25)*30) + MAX(0, 20 - (L710*10) - (M710*5) - (N710*3)) + MAX(0, 15 - (O710*5) - (P710*2)) + (IF(Q710="N/A",0,Q710)*2.5) + (IF(R710="N/A",0,R710)*2.5) + (IF(S710="N/A",0,S710)*2.5) + (IF(T710="N/A",0,T710)*2.5)), MIN(IF(((F710*10)+(G710*3)+(H710*4)+(I710*5)+(J710*8)+(O710*5)+(P710*2)+IF(L710="N/A",0,(L710*10)+(M710*5)+(N710*3)))&gt;0,98,100), ((MAX(0, 25 - (H710*4) - (I710*5) - (J710*8) - (K710*5))/25)*55) + ((MAX(0, 20 - (L710*10) - (M710*5) - (N710*3))/20)*30) + ((MAX(0, 15 - (O710*5) - (P710*2))/15)*15))))</f>
        <v>100</v>
      </c>
      <c r="V710" s="12" t="str">
        <f t="shared" si="27"/>
        <v>Clase A++</v>
      </c>
    </row>
    <row r="711" spans="1:22" x14ac:dyDescent="0.2">
      <c r="A711" s="13"/>
      <c r="B711" s="14" t="str">
        <f>IF(A711="","",INDEX(proveedores[Proveedor],MATCH(A711,proveedores[Código],0)))</f>
        <v/>
      </c>
      <c r="C711" s="14" t="str">
        <f>IF(A711="","",INDEX(proveedores[Material],MATCH(A711,proveedores[Código],0)))</f>
        <v/>
      </c>
      <c r="D711" s="15" t="str">
        <f>IF(A711="","",INDEX(proveedores[Perfil],MATCH(A711,proveedores[Código],0)))</f>
        <v/>
      </c>
      <c r="E711" s="15" t="str">
        <f>IF(A711="","",IFERROR(INDEX(proveedores[Nivel de criticidad],MATCH(A711,proveedores[Código],0)),""))</f>
        <v/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5">
        <f t="shared" si="28"/>
        <v>100</v>
      </c>
      <c r="V711" s="12" t="str">
        <f t="shared" ref="V711:V774" si="29">IF(U711&gt;=96, "Clase A++", IF(U711&gt;=85, "Clase A", IF(U711&gt;=70, "Clase B", "Clase C")))</f>
        <v>Clase A++</v>
      </c>
    </row>
    <row r="712" spans="1:22" x14ac:dyDescent="0.2">
      <c r="A712" s="13"/>
      <c r="B712" s="14" t="str">
        <f>IF(A712="","",INDEX(proveedores[Proveedor],MATCH(A712,proveedores[Código],0)))</f>
        <v/>
      </c>
      <c r="C712" s="14" t="str">
        <f>IF(A712="","",INDEX(proveedores[Material],MATCH(A712,proveedores[Código],0)))</f>
        <v/>
      </c>
      <c r="D712" s="15" t="str">
        <f>IF(A712="","",INDEX(proveedores[Perfil],MATCH(A712,proveedores[Código],0)))</f>
        <v/>
      </c>
      <c r="E712" s="15" t="str">
        <f>IF(A712="","",IFERROR(INDEX(proveedores[Nivel de criticidad],MATCH(A712,proveedores[Código],0)),""))</f>
        <v/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5">
        <f t="shared" si="28"/>
        <v>100</v>
      </c>
      <c r="V712" s="12" t="str">
        <f t="shared" si="29"/>
        <v>Clase A++</v>
      </c>
    </row>
    <row r="713" spans="1:22" x14ac:dyDescent="0.2">
      <c r="A713" s="13"/>
      <c r="B713" s="14" t="str">
        <f>IF(A713="","",INDEX(proveedores[Proveedor],MATCH(A713,proveedores[Código],0)))</f>
        <v/>
      </c>
      <c r="C713" s="14" t="str">
        <f>IF(A713="","",INDEX(proveedores[Material],MATCH(A713,proveedores[Código],0)))</f>
        <v/>
      </c>
      <c r="D713" s="15" t="str">
        <f>IF(A713="","",INDEX(proveedores[Perfil],MATCH(A713,proveedores[Código],0)))</f>
        <v/>
      </c>
      <c r="E713" s="15" t="str">
        <f>IF(A713="","",IFERROR(INDEX(proveedores[Nivel de criticidad],MATCH(A713,proveedores[Código],0)),""))</f>
        <v/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5">
        <f t="shared" si="28"/>
        <v>100</v>
      </c>
      <c r="V713" s="12" t="str">
        <f t="shared" si="29"/>
        <v>Clase A++</v>
      </c>
    </row>
    <row r="714" spans="1:22" x14ac:dyDescent="0.2">
      <c r="A714" s="13"/>
      <c r="B714" s="14" t="str">
        <f>IF(A714="","",INDEX(proveedores[Proveedor],MATCH(A714,proveedores[Código],0)))</f>
        <v/>
      </c>
      <c r="C714" s="14" t="str">
        <f>IF(A714="","",INDEX(proveedores[Material],MATCH(A714,proveedores[Código],0)))</f>
        <v/>
      </c>
      <c r="D714" s="15" t="str">
        <f>IF(A714="","",INDEX(proveedores[Perfil],MATCH(A714,proveedores[Código],0)))</f>
        <v/>
      </c>
      <c r="E714" s="15" t="str">
        <f>IF(A714="","",IFERROR(INDEX(proveedores[Nivel de criticidad],MATCH(A714,proveedores[Código],0)),""))</f>
        <v/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5">
        <f t="shared" si="28"/>
        <v>100</v>
      </c>
      <c r="V714" s="12" t="str">
        <f t="shared" si="29"/>
        <v>Clase A++</v>
      </c>
    </row>
    <row r="715" spans="1:22" x14ac:dyDescent="0.2">
      <c r="A715" s="13"/>
      <c r="B715" s="14" t="str">
        <f>IF(A715="","",INDEX(proveedores[Proveedor],MATCH(A715,proveedores[Código],0)))</f>
        <v/>
      </c>
      <c r="C715" s="14" t="str">
        <f>IF(A715="","",INDEX(proveedores[Material],MATCH(A715,proveedores[Código],0)))</f>
        <v/>
      </c>
      <c r="D715" s="15" t="str">
        <f>IF(A715="","",INDEX(proveedores[Perfil],MATCH(A715,proveedores[Código],0)))</f>
        <v/>
      </c>
      <c r="E715" s="15" t="str">
        <f>IF(A715="","",IFERROR(INDEX(proveedores[Nivel de criticidad],MATCH(A715,proveedores[Código],0)),""))</f>
        <v/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5">
        <f t="shared" si="28"/>
        <v>100</v>
      </c>
      <c r="V715" s="12" t="str">
        <f t="shared" si="29"/>
        <v>Clase A++</v>
      </c>
    </row>
    <row r="716" spans="1:22" x14ac:dyDescent="0.2">
      <c r="A716" s="13"/>
      <c r="B716" s="14" t="str">
        <f>IF(A716="","",INDEX(proveedores[Proveedor],MATCH(A716,proveedores[Código],0)))</f>
        <v/>
      </c>
      <c r="C716" s="14" t="str">
        <f>IF(A716="","",INDEX(proveedores[Material],MATCH(A716,proveedores[Código],0)))</f>
        <v/>
      </c>
      <c r="D716" s="15" t="str">
        <f>IF(A716="","",INDEX(proveedores[Perfil],MATCH(A716,proveedores[Código],0)))</f>
        <v/>
      </c>
      <c r="E716" s="15" t="str">
        <f>IF(A716="","",IFERROR(INDEX(proveedores[Nivel de criticidad],MATCH(A716,proveedores[Código],0)),""))</f>
        <v/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5">
        <f t="shared" si="28"/>
        <v>100</v>
      </c>
      <c r="V716" s="12" t="str">
        <f t="shared" si="29"/>
        <v>Clase A++</v>
      </c>
    </row>
    <row r="717" spans="1:22" x14ac:dyDescent="0.2">
      <c r="A717" s="13"/>
      <c r="B717" s="14" t="str">
        <f>IF(A717="","",INDEX(proveedores[Proveedor],MATCH(A717,proveedores[Código],0)))</f>
        <v/>
      </c>
      <c r="C717" s="14" t="str">
        <f>IF(A717="","",INDEX(proveedores[Material],MATCH(A717,proveedores[Código],0)))</f>
        <v/>
      </c>
      <c r="D717" s="15" t="str">
        <f>IF(A717="","",INDEX(proveedores[Perfil],MATCH(A717,proveedores[Código],0)))</f>
        <v/>
      </c>
      <c r="E717" s="15" t="str">
        <f>IF(A717="","",IFERROR(INDEX(proveedores[Nivel de criticidad],MATCH(A717,proveedores[Código],0)),""))</f>
        <v/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5">
        <f t="shared" si="28"/>
        <v>100</v>
      </c>
      <c r="V717" s="12" t="str">
        <f t="shared" si="29"/>
        <v>Clase A++</v>
      </c>
    </row>
    <row r="718" spans="1:22" x14ac:dyDescent="0.2">
      <c r="A718" s="13"/>
      <c r="B718" s="14" t="str">
        <f>IF(A718="","",INDEX(proveedores[Proveedor],MATCH(A718,proveedores[Código],0)))</f>
        <v/>
      </c>
      <c r="C718" s="14" t="str">
        <f>IF(A718="","",INDEX(proveedores[Material],MATCH(A718,proveedores[Código],0)))</f>
        <v/>
      </c>
      <c r="D718" s="15" t="str">
        <f>IF(A718="","",INDEX(proveedores[Perfil],MATCH(A718,proveedores[Código],0)))</f>
        <v/>
      </c>
      <c r="E718" s="15" t="str">
        <f>IF(A718="","",IFERROR(INDEX(proveedores[Nivel de criticidad],MATCH(A718,proveedores[Código],0)),""))</f>
        <v/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5">
        <f t="shared" si="28"/>
        <v>100</v>
      </c>
      <c r="V718" s="12" t="str">
        <f t="shared" si="29"/>
        <v>Clase A++</v>
      </c>
    </row>
    <row r="719" spans="1:22" x14ac:dyDescent="0.2">
      <c r="A719" s="13"/>
      <c r="B719" s="14" t="str">
        <f>IF(A719="","",INDEX(proveedores[Proveedor],MATCH(A719,proveedores[Código],0)))</f>
        <v/>
      </c>
      <c r="C719" s="14" t="str">
        <f>IF(A719="","",INDEX(proveedores[Material],MATCH(A719,proveedores[Código],0)))</f>
        <v/>
      </c>
      <c r="D719" s="15" t="str">
        <f>IF(A719="","",INDEX(proveedores[Perfil],MATCH(A719,proveedores[Código],0)))</f>
        <v/>
      </c>
      <c r="E719" s="15" t="str">
        <f>IF(A719="","",IFERROR(INDEX(proveedores[Nivel de criticidad],MATCH(A719,proveedores[Código],0)),""))</f>
        <v/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5">
        <f t="shared" si="28"/>
        <v>100</v>
      </c>
      <c r="V719" s="12" t="str">
        <f t="shared" si="29"/>
        <v>Clase A++</v>
      </c>
    </row>
    <row r="720" spans="1:22" x14ac:dyDescent="0.2">
      <c r="A720" s="13"/>
      <c r="B720" s="14" t="str">
        <f>IF(A720="","",INDEX(proveedores[Proveedor],MATCH(A720,proveedores[Código],0)))</f>
        <v/>
      </c>
      <c r="C720" s="14" t="str">
        <f>IF(A720="","",INDEX(proveedores[Material],MATCH(A720,proveedores[Código],0)))</f>
        <v/>
      </c>
      <c r="D720" s="15" t="str">
        <f>IF(A720="","",INDEX(proveedores[Perfil],MATCH(A720,proveedores[Código],0)))</f>
        <v/>
      </c>
      <c r="E720" s="15" t="str">
        <f>IF(A720="","",IFERROR(INDEX(proveedores[Nivel de criticidad],MATCH(A720,proveedores[Código],0)),""))</f>
        <v/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5">
        <f t="shared" si="28"/>
        <v>100</v>
      </c>
      <c r="V720" s="12" t="str">
        <f t="shared" si="29"/>
        <v>Clase A++</v>
      </c>
    </row>
    <row r="721" spans="1:22" x14ac:dyDescent="0.2">
      <c r="A721" s="13"/>
      <c r="B721" s="14" t="str">
        <f>IF(A721="","",INDEX(proveedores[Proveedor],MATCH(A721,proveedores[Código],0)))</f>
        <v/>
      </c>
      <c r="C721" s="14" t="str">
        <f>IF(A721="","",INDEX(proveedores[Material],MATCH(A721,proveedores[Código],0)))</f>
        <v/>
      </c>
      <c r="D721" s="15" t="str">
        <f>IF(A721="","",INDEX(proveedores[Perfil],MATCH(A721,proveedores[Código],0)))</f>
        <v/>
      </c>
      <c r="E721" s="15" t="str">
        <f>IF(A721="","",IFERROR(INDEX(proveedores[Nivel de criticidad],MATCH(A721,proveedores[Código],0)),""))</f>
        <v/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5">
        <f t="shared" si="28"/>
        <v>100</v>
      </c>
      <c r="V721" s="12" t="str">
        <f t="shared" si="29"/>
        <v>Clase A++</v>
      </c>
    </row>
    <row r="722" spans="1:22" x14ac:dyDescent="0.2">
      <c r="A722" s="13"/>
      <c r="B722" s="14" t="str">
        <f>IF(A722="","",INDEX(proveedores[Proveedor],MATCH(A722,proveedores[Código],0)))</f>
        <v/>
      </c>
      <c r="C722" s="14" t="str">
        <f>IF(A722="","",INDEX(proveedores[Material],MATCH(A722,proveedores[Código],0)))</f>
        <v/>
      </c>
      <c r="D722" s="15" t="str">
        <f>IF(A722="","",INDEX(proveedores[Perfil],MATCH(A722,proveedores[Código],0)))</f>
        <v/>
      </c>
      <c r="E722" s="15" t="str">
        <f>IF(A722="","",IFERROR(INDEX(proveedores[Nivel de criticidad],MATCH(A722,proveedores[Código],0)),""))</f>
        <v/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5">
        <f t="shared" si="28"/>
        <v>100</v>
      </c>
      <c r="V722" s="12" t="str">
        <f t="shared" si="29"/>
        <v>Clase A++</v>
      </c>
    </row>
    <row r="723" spans="1:22" x14ac:dyDescent="0.2">
      <c r="A723" s="13"/>
      <c r="B723" s="14" t="str">
        <f>IF(A723="","",INDEX(proveedores[Proveedor],MATCH(A723,proveedores[Código],0)))</f>
        <v/>
      </c>
      <c r="C723" s="14" t="str">
        <f>IF(A723="","",INDEX(proveedores[Material],MATCH(A723,proveedores[Código],0)))</f>
        <v/>
      </c>
      <c r="D723" s="15" t="str">
        <f>IF(A723="","",INDEX(proveedores[Perfil],MATCH(A723,proveedores[Código],0)))</f>
        <v/>
      </c>
      <c r="E723" s="15" t="str">
        <f>IF(A723="","",IFERROR(INDEX(proveedores[Nivel de criticidad],MATCH(A723,proveedores[Código],0)),""))</f>
        <v/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5">
        <f t="shared" si="28"/>
        <v>100</v>
      </c>
      <c r="V723" s="12" t="str">
        <f t="shared" si="29"/>
        <v>Clase A++</v>
      </c>
    </row>
    <row r="724" spans="1:22" x14ac:dyDescent="0.2">
      <c r="A724" s="13"/>
      <c r="B724" s="14" t="str">
        <f>IF(A724="","",INDEX(proveedores[Proveedor],MATCH(A724,proveedores[Código],0)))</f>
        <v/>
      </c>
      <c r="C724" s="14" t="str">
        <f>IF(A724="","",INDEX(proveedores[Material],MATCH(A724,proveedores[Código],0)))</f>
        <v/>
      </c>
      <c r="D724" s="15" t="str">
        <f>IF(A724="","",INDEX(proveedores[Perfil],MATCH(A724,proveedores[Código],0)))</f>
        <v/>
      </c>
      <c r="E724" s="15" t="str">
        <f>IF(A724="","",IFERROR(INDEX(proveedores[Nivel de criticidad],MATCH(A724,proveedores[Código],0)),""))</f>
        <v/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5">
        <f t="shared" si="28"/>
        <v>100</v>
      </c>
      <c r="V724" s="12" t="str">
        <f t="shared" si="29"/>
        <v>Clase A++</v>
      </c>
    </row>
    <row r="725" spans="1:22" x14ac:dyDescent="0.2">
      <c r="A725" s="13"/>
      <c r="B725" s="14" t="str">
        <f>IF(A725="","",INDEX(proveedores[Proveedor],MATCH(A725,proveedores[Código],0)))</f>
        <v/>
      </c>
      <c r="C725" s="14" t="str">
        <f>IF(A725="","",INDEX(proveedores[Material],MATCH(A725,proveedores[Código],0)))</f>
        <v/>
      </c>
      <c r="D725" s="15" t="str">
        <f>IF(A725="","",INDEX(proveedores[Perfil],MATCH(A725,proveedores[Código],0)))</f>
        <v/>
      </c>
      <c r="E725" s="15" t="str">
        <f>IF(A725="","",IFERROR(INDEX(proveedores[Nivel de criticidad],MATCH(A725,proveedores[Código],0)),""))</f>
        <v/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5">
        <f t="shared" si="28"/>
        <v>100</v>
      </c>
      <c r="V725" s="12" t="str">
        <f t="shared" si="29"/>
        <v>Clase A++</v>
      </c>
    </row>
    <row r="726" spans="1:22" x14ac:dyDescent="0.2">
      <c r="A726" s="13"/>
      <c r="B726" s="14" t="str">
        <f>IF(A726="","",INDEX(proveedores[Proveedor],MATCH(A726,proveedores[Código],0)))</f>
        <v/>
      </c>
      <c r="C726" s="14" t="str">
        <f>IF(A726="","",INDEX(proveedores[Material],MATCH(A726,proveedores[Código],0)))</f>
        <v/>
      </c>
      <c r="D726" s="15" t="str">
        <f>IF(A726="","",INDEX(proveedores[Perfil],MATCH(A726,proveedores[Código],0)))</f>
        <v/>
      </c>
      <c r="E726" s="15" t="str">
        <f>IF(A726="","",IFERROR(INDEX(proveedores[Nivel de criticidad],MATCH(A726,proveedores[Código],0)),""))</f>
        <v/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5">
        <f t="shared" si="28"/>
        <v>100</v>
      </c>
      <c r="V726" s="12" t="str">
        <f t="shared" si="29"/>
        <v>Clase A++</v>
      </c>
    </row>
    <row r="727" spans="1:22" x14ac:dyDescent="0.2">
      <c r="A727" s="13"/>
      <c r="B727" s="14" t="str">
        <f>IF(A727="","",INDEX(proveedores[Proveedor],MATCH(A727,proveedores[Código],0)))</f>
        <v/>
      </c>
      <c r="C727" s="14" t="str">
        <f>IF(A727="","",INDEX(proveedores[Material],MATCH(A727,proveedores[Código],0)))</f>
        <v/>
      </c>
      <c r="D727" s="15" t="str">
        <f>IF(A727="","",INDEX(proveedores[Perfil],MATCH(A727,proveedores[Código],0)))</f>
        <v/>
      </c>
      <c r="E727" s="15" t="str">
        <f>IF(A727="","",IFERROR(INDEX(proveedores[Nivel de criticidad],MATCH(A727,proveedores[Código],0)),""))</f>
        <v/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5">
        <f t="shared" si="28"/>
        <v>100</v>
      </c>
      <c r="V727" s="12" t="str">
        <f t="shared" si="29"/>
        <v>Clase A++</v>
      </c>
    </row>
    <row r="728" spans="1:22" x14ac:dyDescent="0.2">
      <c r="A728" s="13"/>
      <c r="B728" s="14" t="str">
        <f>IF(A728="","",INDEX(proveedores[Proveedor],MATCH(A728,proveedores[Código],0)))</f>
        <v/>
      </c>
      <c r="C728" s="14" t="str">
        <f>IF(A728="","",INDEX(proveedores[Material],MATCH(A728,proveedores[Código],0)))</f>
        <v/>
      </c>
      <c r="D728" s="15" t="str">
        <f>IF(A728="","",INDEX(proveedores[Perfil],MATCH(A728,proveedores[Código],0)))</f>
        <v/>
      </c>
      <c r="E728" s="15" t="str">
        <f>IF(A728="","",IFERROR(INDEX(proveedores[Nivel de criticidad],MATCH(A728,proveedores[Código],0)),""))</f>
        <v/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5">
        <f t="shared" si="28"/>
        <v>100</v>
      </c>
      <c r="V728" s="12" t="str">
        <f t="shared" si="29"/>
        <v>Clase A++</v>
      </c>
    </row>
    <row r="729" spans="1:22" x14ac:dyDescent="0.2">
      <c r="A729" s="13"/>
      <c r="B729" s="14" t="str">
        <f>IF(A729="","",INDEX(proveedores[Proveedor],MATCH(A729,proveedores[Código],0)))</f>
        <v/>
      </c>
      <c r="C729" s="14" t="str">
        <f>IF(A729="","",INDEX(proveedores[Material],MATCH(A729,proveedores[Código],0)))</f>
        <v/>
      </c>
      <c r="D729" s="15" t="str">
        <f>IF(A729="","",INDEX(proveedores[Perfil],MATCH(A729,proveedores[Código],0)))</f>
        <v/>
      </c>
      <c r="E729" s="15" t="str">
        <f>IF(A729="","",IFERROR(INDEX(proveedores[Nivel de criticidad],MATCH(A729,proveedores[Código],0)),""))</f>
        <v/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5">
        <f t="shared" si="28"/>
        <v>100</v>
      </c>
      <c r="V729" s="12" t="str">
        <f t="shared" si="29"/>
        <v>Clase A++</v>
      </c>
    </row>
    <row r="730" spans="1:22" x14ac:dyDescent="0.2">
      <c r="A730" s="13"/>
      <c r="B730" s="14" t="str">
        <f>IF(A730="","",INDEX(proveedores[Proveedor],MATCH(A730,proveedores[Código],0)))</f>
        <v/>
      </c>
      <c r="C730" s="14" t="str">
        <f>IF(A730="","",INDEX(proveedores[Material],MATCH(A730,proveedores[Código],0)))</f>
        <v/>
      </c>
      <c r="D730" s="15" t="str">
        <f>IF(A730="","",INDEX(proveedores[Perfil],MATCH(A730,proveedores[Código],0)))</f>
        <v/>
      </c>
      <c r="E730" s="15" t="str">
        <f>IF(A730="","",IFERROR(INDEX(proveedores[Nivel de criticidad],MATCH(A730,proveedores[Código],0)),""))</f>
        <v/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5">
        <f t="shared" si="28"/>
        <v>100</v>
      </c>
      <c r="V730" s="12" t="str">
        <f t="shared" si="29"/>
        <v>Clase A++</v>
      </c>
    </row>
    <row r="731" spans="1:22" x14ac:dyDescent="0.2">
      <c r="A731" s="13"/>
      <c r="B731" s="14" t="str">
        <f>IF(A731="","",INDEX(proveedores[Proveedor],MATCH(A731,proveedores[Código],0)))</f>
        <v/>
      </c>
      <c r="C731" s="14" t="str">
        <f>IF(A731="","",INDEX(proveedores[Material],MATCH(A731,proveedores[Código],0)))</f>
        <v/>
      </c>
      <c r="D731" s="15" t="str">
        <f>IF(A731="","",INDEX(proveedores[Perfil],MATCH(A731,proveedores[Código],0)))</f>
        <v/>
      </c>
      <c r="E731" s="15" t="str">
        <f>IF(A731="","",IFERROR(INDEX(proveedores[Nivel de criticidad],MATCH(A731,proveedores[Código],0)),""))</f>
        <v/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5">
        <f t="shared" si="28"/>
        <v>100</v>
      </c>
      <c r="V731" s="12" t="str">
        <f t="shared" si="29"/>
        <v>Clase A++</v>
      </c>
    </row>
    <row r="732" spans="1:22" x14ac:dyDescent="0.2">
      <c r="A732" s="13"/>
      <c r="B732" s="14" t="str">
        <f>IF(A732="","",INDEX(proveedores[Proveedor],MATCH(A732,proveedores[Código],0)))</f>
        <v/>
      </c>
      <c r="C732" s="14" t="str">
        <f>IF(A732="","",INDEX(proveedores[Material],MATCH(A732,proveedores[Código],0)))</f>
        <v/>
      </c>
      <c r="D732" s="15" t="str">
        <f>IF(A732="","",INDEX(proveedores[Perfil],MATCH(A732,proveedores[Código],0)))</f>
        <v/>
      </c>
      <c r="E732" s="15" t="str">
        <f>IF(A732="","",IFERROR(INDEX(proveedores[Nivel de criticidad],MATCH(A732,proveedores[Código],0)),""))</f>
        <v/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5">
        <f t="shared" si="28"/>
        <v>100</v>
      </c>
      <c r="V732" s="12" t="str">
        <f t="shared" si="29"/>
        <v>Clase A++</v>
      </c>
    </row>
    <row r="733" spans="1:22" x14ac:dyDescent="0.2">
      <c r="A733" s="13"/>
      <c r="B733" s="14" t="str">
        <f>IF(A733="","",INDEX(proveedores[Proveedor],MATCH(A733,proveedores[Código],0)))</f>
        <v/>
      </c>
      <c r="C733" s="14" t="str">
        <f>IF(A733="","",INDEX(proveedores[Material],MATCH(A733,proveedores[Código],0)))</f>
        <v/>
      </c>
      <c r="D733" s="15" t="str">
        <f>IF(A733="","",INDEX(proveedores[Perfil],MATCH(A733,proveedores[Código],0)))</f>
        <v/>
      </c>
      <c r="E733" s="15" t="str">
        <f>IF(A733="","",IFERROR(INDEX(proveedores[Nivel de criticidad],MATCH(A733,proveedores[Código],0)),""))</f>
        <v/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5">
        <f t="shared" si="28"/>
        <v>100</v>
      </c>
      <c r="V733" s="12" t="str">
        <f t="shared" si="29"/>
        <v>Clase A++</v>
      </c>
    </row>
    <row r="734" spans="1:22" x14ac:dyDescent="0.2">
      <c r="A734" s="13"/>
      <c r="B734" s="14" t="str">
        <f>IF(A734="","",INDEX(proveedores[Proveedor],MATCH(A734,proveedores[Código],0)))</f>
        <v/>
      </c>
      <c r="C734" s="14" t="str">
        <f>IF(A734="","",INDEX(proveedores[Material],MATCH(A734,proveedores[Código],0)))</f>
        <v/>
      </c>
      <c r="D734" s="15" t="str">
        <f>IF(A734="","",INDEX(proveedores[Perfil],MATCH(A734,proveedores[Código],0)))</f>
        <v/>
      </c>
      <c r="E734" s="15" t="str">
        <f>IF(A734="","",IFERROR(INDEX(proveedores[Nivel de criticidad],MATCH(A734,proveedores[Código],0)),""))</f>
        <v/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5">
        <f t="shared" si="28"/>
        <v>100</v>
      </c>
      <c r="V734" s="12" t="str">
        <f t="shared" si="29"/>
        <v>Clase A++</v>
      </c>
    </row>
    <row r="735" spans="1:22" x14ac:dyDescent="0.2">
      <c r="A735" s="13"/>
      <c r="B735" s="14" t="str">
        <f>IF(A735="","",INDEX(proveedores[Proveedor],MATCH(A735,proveedores[Código],0)))</f>
        <v/>
      </c>
      <c r="C735" s="14" t="str">
        <f>IF(A735="","",INDEX(proveedores[Material],MATCH(A735,proveedores[Código],0)))</f>
        <v/>
      </c>
      <c r="D735" s="15" t="str">
        <f>IF(A735="","",INDEX(proveedores[Perfil],MATCH(A735,proveedores[Código],0)))</f>
        <v/>
      </c>
      <c r="E735" s="15" t="str">
        <f>IF(A735="","",IFERROR(INDEX(proveedores[Nivel de criticidad],MATCH(A735,proveedores[Código],0)),""))</f>
        <v/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5">
        <f t="shared" si="28"/>
        <v>100</v>
      </c>
      <c r="V735" s="12" t="str">
        <f t="shared" si="29"/>
        <v>Clase A++</v>
      </c>
    </row>
    <row r="736" spans="1:22" x14ac:dyDescent="0.2">
      <c r="A736" s="13"/>
      <c r="B736" s="14" t="str">
        <f>IF(A736="","",INDEX(proveedores[Proveedor],MATCH(A736,proveedores[Código],0)))</f>
        <v/>
      </c>
      <c r="C736" s="14" t="str">
        <f>IF(A736="","",INDEX(proveedores[Material],MATCH(A736,proveedores[Código],0)))</f>
        <v/>
      </c>
      <c r="D736" s="15" t="str">
        <f>IF(A736="","",INDEX(proveedores[Perfil],MATCH(A736,proveedores[Código],0)))</f>
        <v/>
      </c>
      <c r="E736" s="15" t="str">
        <f>IF(A736="","",IFERROR(INDEX(proveedores[Nivel de criticidad],MATCH(A736,proveedores[Código],0)),""))</f>
        <v/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5">
        <f t="shared" si="28"/>
        <v>100</v>
      </c>
      <c r="V736" s="12" t="str">
        <f t="shared" si="29"/>
        <v>Clase A++</v>
      </c>
    </row>
    <row r="737" spans="1:22" x14ac:dyDescent="0.2">
      <c r="A737" s="13"/>
      <c r="B737" s="14" t="str">
        <f>IF(A737="","",INDEX(proveedores[Proveedor],MATCH(A737,proveedores[Código],0)))</f>
        <v/>
      </c>
      <c r="C737" s="14" t="str">
        <f>IF(A737="","",INDEX(proveedores[Material],MATCH(A737,proveedores[Código],0)))</f>
        <v/>
      </c>
      <c r="D737" s="15" t="str">
        <f>IF(A737="","",INDEX(proveedores[Perfil],MATCH(A737,proveedores[Código],0)))</f>
        <v/>
      </c>
      <c r="E737" s="15" t="str">
        <f>IF(A737="","",IFERROR(INDEX(proveedores[Nivel de criticidad],MATCH(A737,proveedores[Código],0)),""))</f>
        <v/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5">
        <f t="shared" si="28"/>
        <v>100</v>
      </c>
      <c r="V737" s="12" t="str">
        <f t="shared" si="29"/>
        <v>Clase A++</v>
      </c>
    </row>
    <row r="738" spans="1:22" x14ac:dyDescent="0.2">
      <c r="A738" s="13"/>
      <c r="B738" s="14" t="str">
        <f>IF(A738="","",INDEX(proveedores[Proveedor],MATCH(A738,proveedores[Código],0)))</f>
        <v/>
      </c>
      <c r="C738" s="14" t="str">
        <f>IF(A738="","",INDEX(proveedores[Material],MATCH(A738,proveedores[Código],0)))</f>
        <v/>
      </c>
      <c r="D738" s="15" t="str">
        <f>IF(A738="","",INDEX(proveedores[Perfil],MATCH(A738,proveedores[Código],0)))</f>
        <v/>
      </c>
      <c r="E738" s="15" t="str">
        <f>IF(A738="","",IFERROR(INDEX(proveedores[Nivel de criticidad],MATCH(A738,proveedores[Código],0)),""))</f>
        <v/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5">
        <f t="shared" si="28"/>
        <v>100</v>
      </c>
      <c r="V738" s="12" t="str">
        <f t="shared" si="29"/>
        <v>Clase A++</v>
      </c>
    </row>
    <row r="739" spans="1:22" x14ac:dyDescent="0.2">
      <c r="A739" s="13"/>
      <c r="B739" s="14" t="str">
        <f>IF(A739="","",INDEX(proveedores[Proveedor],MATCH(A739,proveedores[Código],0)))</f>
        <v/>
      </c>
      <c r="C739" s="14" t="str">
        <f>IF(A739="","",INDEX(proveedores[Material],MATCH(A739,proveedores[Código],0)))</f>
        <v/>
      </c>
      <c r="D739" s="15" t="str">
        <f>IF(A739="","",INDEX(proveedores[Perfil],MATCH(A739,proveedores[Código],0)))</f>
        <v/>
      </c>
      <c r="E739" s="15" t="str">
        <f>IF(A739="","",IFERROR(INDEX(proveedores[Nivel de criticidad],MATCH(A739,proveedores[Código],0)),""))</f>
        <v/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5">
        <f t="shared" si="28"/>
        <v>100</v>
      </c>
      <c r="V739" s="12" t="str">
        <f t="shared" si="29"/>
        <v>Clase A++</v>
      </c>
    </row>
    <row r="740" spans="1:22" x14ac:dyDescent="0.2">
      <c r="A740" s="13"/>
      <c r="B740" s="14" t="str">
        <f>IF(A740="","",INDEX(proveedores[Proveedor],MATCH(A740,proveedores[Código],0)))</f>
        <v/>
      </c>
      <c r="C740" s="14" t="str">
        <f>IF(A740="","",INDEX(proveedores[Material],MATCH(A740,proveedores[Código],0)))</f>
        <v/>
      </c>
      <c r="D740" s="15" t="str">
        <f>IF(A740="","",INDEX(proveedores[Perfil],MATCH(A740,proveedores[Código],0)))</f>
        <v/>
      </c>
      <c r="E740" s="15" t="str">
        <f>IF(A740="","",IFERROR(INDEX(proveedores[Nivel de criticidad],MATCH(A740,proveedores[Código],0)),""))</f>
        <v/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5">
        <f t="shared" si="28"/>
        <v>100</v>
      </c>
      <c r="V740" s="12" t="str">
        <f t="shared" si="29"/>
        <v>Clase A++</v>
      </c>
    </row>
    <row r="741" spans="1:22" x14ac:dyDescent="0.2">
      <c r="A741" s="13"/>
      <c r="B741" s="14" t="str">
        <f>IF(A741="","",INDEX(proveedores[Proveedor],MATCH(A741,proveedores[Código],0)))</f>
        <v/>
      </c>
      <c r="C741" s="14" t="str">
        <f>IF(A741="","",INDEX(proveedores[Material],MATCH(A741,proveedores[Código],0)))</f>
        <v/>
      </c>
      <c r="D741" s="15" t="str">
        <f>IF(A741="","",INDEX(proveedores[Perfil],MATCH(A741,proveedores[Código],0)))</f>
        <v/>
      </c>
      <c r="E741" s="15" t="str">
        <f>IF(A741="","",IFERROR(INDEX(proveedores[Nivel de criticidad],MATCH(A741,proveedores[Código],0)),""))</f>
        <v/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5">
        <f t="shared" si="28"/>
        <v>100</v>
      </c>
      <c r="V741" s="12" t="str">
        <f t="shared" si="29"/>
        <v>Clase A++</v>
      </c>
    </row>
    <row r="742" spans="1:22" x14ac:dyDescent="0.2">
      <c r="A742" s="13"/>
      <c r="B742" s="14" t="str">
        <f>IF(A742="","",INDEX(proveedores[Proveedor],MATCH(A742,proveedores[Código],0)))</f>
        <v/>
      </c>
      <c r="C742" s="14" t="str">
        <f>IF(A742="","",INDEX(proveedores[Material],MATCH(A742,proveedores[Código],0)))</f>
        <v/>
      </c>
      <c r="D742" s="15" t="str">
        <f>IF(A742="","",INDEX(proveedores[Perfil],MATCH(A742,proveedores[Código],0)))</f>
        <v/>
      </c>
      <c r="E742" s="15" t="str">
        <f>IF(A742="","",IFERROR(INDEX(proveedores[Nivel de criticidad],MATCH(A742,proveedores[Código],0)),""))</f>
        <v/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5">
        <f t="shared" si="28"/>
        <v>100</v>
      </c>
      <c r="V742" s="12" t="str">
        <f t="shared" si="29"/>
        <v>Clase A++</v>
      </c>
    </row>
    <row r="743" spans="1:22" x14ac:dyDescent="0.2">
      <c r="A743" s="13"/>
      <c r="B743" s="14" t="str">
        <f>IF(A743="","",INDEX(proveedores[Proveedor],MATCH(A743,proveedores[Código],0)))</f>
        <v/>
      </c>
      <c r="C743" s="14" t="str">
        <f>IF(A743="","",INDEX(proveedores[Material],MATCH(A743,proveedores[Código],0)))</f>
        <v/>
      </c>
      <c r="D743" s="15" t="str">
        <f>IF(A743="","",INDEX(proveedores[Perfil],MATCH(A743,proveedores[Código],0)))</f>
        <v/>
      </c>
      <c r="E743" s="15" t="str">
        <f>IF(A743="","",IFERROR(INDEX(proveedores[Nivel de criticidad],MATCH(A743,proveedores[Código],0)),""))</f>
        <v/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5">
        <f t="shared" si="28"/>
        <v>100</v>
      </c>
      <c r="V743" s="12" t="str">
        <f t="shared" si="29"/>
        <v>Clase A++</v>
      </c>
    </row>
    <row r="744" spans="1:22" x14ac:dyDescent="0.2">
      <c r="A744" s="13"/>
      <c r="B744" s="14" t="str">
        <f>IF(A744="","",INDEX(proveedores[Proveedor],MATCH(A744,proveedores[Código],0)))</f>
        <v/>
      </c>
      <c r="C744" s="14" t="str">
        <f>IF(A744="","",INDEX(proveedores[Material],MATCH(A744,proveedores[Código],0)))</f>
        <v/>
      </c>
      <c r="D744" s="15" t="str">
        <f>IF(A744="","",INDEX(proveedores[Perfil],MATCH(A744,proveedores[Código],0)))</f>
        <v/>
      </c>
      <c r="E744" s="15" t="str">
        <f>IF(A744="","",IFERROR(INDEX(proveedores[Nivel de criticidad],MATCH(A744,proveedores[Código],0)),""))</f>
        <v/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5">
        <f t="shared" si="28"/>
        <v>100</v>
      </c>
      <c r="V744" s="12" t="str">
        <f t="shared" si="29"/>
        <v>Clase A++</v>
      </c>
    </row>
    <row r="745" spans="1:22" x14ac:dyDescent="0.2">
      <c r="A745" s="13"/>
      <c r="B745" s="14" t="str">
        <f>IF(A745="","",INDEX(proveedores[Proveedor],MATCH(A745,proveedores[Código],0)))</f>
        <v/>
      </c>
      <c r="C745" s="14" t="str">
        <f>IF(A745="","",INDEX(proveedores[Material],MATCH(A745,proveedores[Código],0)))</f>
        <v/>
      </c>
      <c r="D745" s="15" t="str">
        <f>IF(A745="","",INDEX(proveedores[Perfil],MATCH(A745,proveedores[Código],0)))</f>
        <v/>
      </c>
      <c r="E745" s="15" t="str">
        <f>IF(A745="","",IFERROR(INDEX(proveedores[Nivel de criticidad],MATCH(A745,proveedores[Código],0)),""))</f>
        <v/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5">
        <f t="shared" si="28"/>
        <v>100</v>
      </c>
      <c r="V745" s="12" t="str">
        <f t="shared" si="29"/>
        <v>Clase A++</v>
      </c>
    </row>
    <row r="746" spans="1:22" x14ac:dyDescent="0.2">
      <c r="A746" s="13"/>
      <c r="B746" s="14" t="str">
        <f>IF(A746="","",INDEX(proveedores[Proveedor],MATCH(A746,proveedores[Código],0)))</f>
        <v/>
      </c>
      <c r="C746" s="14" t="str">
        <f>IF(A746="","",INDEX(proveedores[Material],MATCH(A746,proveedores[Código],0)))</f>
        <v/>
      </c>
      <c r="D746" s="15" t="str">
        <f>IF(A746="","",INDEX(proveedores[Perfil],MATCH(A746,proveedores[Código],0)))</f>
        <v/>
      </c>
      <c r="E746" s="15" t="str">
        <f>IF(A746="","",IFERROR(INDEX(proveedores[Nivel de criticidad],MATCH(A746,proveedores[Código],0)),""))</f>
        <v/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5">
        <f t="shared" si="28"/>
        <v>100</v>
      </c>
      <c r="V746" s="12" t="str">
        <f t="shared" si="29"/>
        <v>Clase A++</v>
      </c>
    </row>
    <row r="747" spans="1:22" x14ac:dyDescent="0.2">
      <c r="A747" s="13"/>
      <c r="B747" s="14" t="str">
        <f>IF(A747="","",INDEX(proveedores[Proveedor],MATCH(A747,proveedores[Código],0)))</f>
        <v/>
      </c>
      <c r="C747" s="14" t="str">
        <f>IF(A747="","",INDEX(proveedores[Material],MATCH(A747,proveedores[Código],0)))</f>
        <v/>
      </c>
      <c r="D747" s="15" t="str">
        <f>IF(A747="","",INDEX(proveedores[Perfil],MATCH(A747,proveedores[Código],0)))</f>
        <v/>
      </c>
      <c r="E747" s="15" t="str">
        <f>IF(A747="","",IFERROR(INDEX(proveedores[Nivel de criticidad],MATCH(A747,proveedores[Código],0)),""))</f>
        <v/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5">
        <f t="shared" si="28"/>
        <v>100</v>
      </c>
      <c r="V747" s="12" t="str">
        <f t="shared" si="29"/>
        <v>Clase A++</v>
      </c>
    </row>
    <row r="748" spans="1:22" x14ac:dyDescent="0.2">
      <c r="A748" s="13"/>
      <c r="B748" s="14" t="str">
        <f>IF(A748="","",INDEX(proveedores[Proveedor],MATCH(A748,proveedores[Código],0)))</f>
        <v/>
      </c>
      <c r="C748" s="14" t="str">
        <f>IF(A748="","",INDEX(proveedores[Material],MATCH(A748,proveedores[Código],0)))</f>
        <v/>
      </c>
      <c r="D748" s="15" t="str">
        <f>IF(A748="","",INDEX(proveedores[Perfil],MATCH(A748,proveedores[Código],0)))</f>
        <v/>
      </c>
      <c r="E748" s="15" t="str">
        <f>IF(A748="","",IFERROR(INDEX(proveedores[Nivel de criticidad],MATCH(A748,proveedores[Código],0)),""))</f>
        <v/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5">
        <f t="shared" si="28"/>
        <v>100</v>
      </c>
      <c r="V748" s="12" t="str">
        <f t="shared" si="29"/>
        <v>Clase A++</v>
      </c>
    </row>
    <row r="749" spans="1:22" x14ac:dyDescent="0.2">
      <c r="A749" s="13"/>
      <c r="B749" s="14" t="str">
        <f>IF(A749="","",INDEX(proveedores[Proveedor],MATCH(A749,proveedores[Código],0)))</f>
        <v/>
      </c>
      <c r="C749" s="14" t="str">
        <f>IF(A749="","",INDEX(proveedores[Material],MATCH(A749,proveedores[Código],0)))</f>
        <v/>
      </c>
      <c r="D749" s="15" t="str">
        <f>IF(A749="","",INDEX(proveedores[Perfil],MATCH(A749,proveedores[Código],0)))</f>
        <v/>
      </c>
      <c r="E749" s="15" t="str">
        <f>IF(A749="","",IFERROR(INDEX(proveedores[Nivel de criticidad],MATCH(A749,proveedores[Código],0)),""))</f>
        <v/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5">
        <f t="shared" si="28"/>
        <v>100</v>
      </c>
      <c r="V749" s="12" t="str">
        <f t="shared" si="29"/>
        <v>Clase A++</v>
      </c>
    </row>
    <row r="750" spans="1:22" x14ac:dyDescent="0.2">
      <c r="A750" s="13"/>
      <c r="B750" s="14" t="str">
        <f>IF(A750="","",INDEX(proveedores[Proveedor],MATCH(A750,proveedores[Código],0)))</f>
        <v/>
      </c>
      <c r="C750" s="14" t="str">
        <f>IF(A750="","",INDEX(proveedores[Material],MATCH(A750,proveedores[Código],0)))</f>
        <v/>
      </c>
      <c r="D750" s="15" t="str">
        <f>IF(A750="","",INDEX(proveedores[Perfil],MATCH(A750,proveedores[Código],0)))</f>
        <v/>
      </c>
      <c r="E750" s="15" t="str">
        <f>IF(A750="","",IFERROR(INDEX(proveedores[Nivel de criticidad],MATCH(A750,proveedores[Código],0)),""))</f>
        <v/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5">
        <f t="shared" si="28"/>
        <v>100</v>
      </c>
      <c r="V750" s="12" t="str">
        <f t="shared" si="29"/>
        <v>Clase A++</v>
      </c>
    </row>
    <row r="751" spans="1:22" x14ac:dyDescent="0.2">
      <c r="A751" s="13"/>
      <c r="B751" s="14" t="str">
        <f>IF(A751="","",INDEX(proveedores[Proveedor],MATCH(A751,proveedores[Código],0)))</f>
        <v/>
      </c>
      <c r="C751" s="14" t="str">
        <f>IF(A751="","",INDEX(proveedores[Material],MATCH(A751,proveedores[Código],0)))</f>
        <v/>
      </c>
      <c r="D751" s="15" t="str">
        <f>IF(A751="","",INDEX(proveedores[Perfil],MATCH(A751,proveedores[Código],0)))</f>
        <v/>
      </c>
      <c r="E751" s="15" t="str">
        <f>IF(A751="","",IFERROR(INDEX(proveedores[Nivel de criticidad],MATCH(A751,proveedores[Código],0)),""))</f>
        <v/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5">
        <f t="shared" si="28"/>
        <v>100</v>
      </c>
      <c r="V751" s="12" t="str">
        <f t="shared" si="29"/>
        <v>Clase A++</v>
      </c>
    </row>
    <row r="752" spans="1:22" x14ac:dyDescent="0.2">
      <c r="A752" s="13"/>
      <c r="B752" s="14" t="str">
        <f>IF(A752="","",INDEX(proveedores[Proveedor],MATCH(A752,proveedores[Código],0)))</f>
        <v/>
      </c>
      <c r="C752" s="14" t="str">
        <f>IF(A752="","",INDEX(proveedores[Material],MATCH(A752,proveedores[Código],0)))</f>
        <v/>
      </c>
      <c r="D752" s="15" t="str">
        <f>IF(A752="","",INDEX(proveedores[Perfil],MATCH(A752,proveedores[Código],0)))</f>
        <v/>
      </c>
      <c r="E752" s="15" t="str">
        <f>IF(A752="","",IFERROR(INDEX(proveedores[Nivel de criticidad],MATCH(A752,proveedores[Código],0)),""))</f>
        <v/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5">
        <f t="shared" si="28"/>
        <v>100</v>
      </c>
      <c r="V752" s="12" t="str">
        <f t="shared" si="29"/>
        <v>Clase A++</v>
      </c>
    </row>
    <row r="753" spans="1:22" x14ac:dyDescent="0.2">
      <c r="A753" s="13"/>
      <c r="B753" s="14" t="str">
        <f>IF(A753="","",INDEX(proveedores[Proveedor],MATCH(A753,proveedores[Código],0)))</f>
        <v/>
      </c>
      <c r="C753" s="14" t="str">
        <f>IF(A753="","",INDEX(proveedores[Material],MATCH(A753,proveedores[Código],0)))</f>
        <v/>
      </c>
      <c r="D753" s="15" t="str">
        <f>IF(A753="","",INDEX(proveedores[Perfil],MATCH(A753,proveedores[Código],0)))</f>
        <v/>
      </c>
      <c r="E753" s="15" t="str">
        <f>IF(A753="","",IFERROR(INDEX(proveedores[Nivel de criticidad],MATCH(A753,proveedores[Código],0)),""))</f>
        <v/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5">
        <f t="shared" si="28"/>
        <v>100</v>
      </c>
      <c r="V753" s="12" t="str">
        <f t="shared" si="29"/>
        <v>Clase A++</v>
      </c>
    </row>
    <row r="754" spans="1:22" x14ac:dyDescent="0.2">
      <c r="A754" s="13"/>
      <c r="B754" s="14" t="str">
        <f>IF(A754="","",INDEX(proveedores[Proveedor],MATCH(A754,proveedores[Código],0)))</f>
        <v/>
      </c>
      <c r="C754" s="14" t="str">
        <f>IF(A754="","",INDEX(proveedores[Material],MATCH(A754,proveedores[Código],0)))</f>
        <v/>
      </c>
      <c r="D754" s="15" t="str">
        <f>IF(A754="","",INDEX(proveedores[Perfil],MATCH(A754,proveedores[Código],0)))</f>
        <v/>
      </c>
      <c r="E754" s="15" t="str">
        <f>IF(A754="","",IFERROR(INDEX(proveedores[Nivel de criticidad],MATCH(A754,proveedores[Código],0)),""))</f>
        <v/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5">
        <f t="shared" si="28"/>
        <v>100</v>
      </c>
      <c r="V754" s="12" t="str">
        <f t="shared" si="29"/>
        <v>Clase A++</v>
      </c>
    </row>
    <row r="755" spans="1:22" x14ac:dyDescent="0.2">
      <c r="A755" s="13"/>
      <c r="B755" s="14" t="str">
        <f>IF(A755="","",INDEX(proveedores[Proveedor],MATCH(A755,proveedores[Código],0)))</f>
        <v/>
      </c>
      <c r="C755" s="14" t="str">
        <f>IF(A755="","",INDEX(proveedores[Material],MATCH(A755,proveedores[Código],0)))</f>
        <v/>
      </c>
      <c r="D755" s="15" t="str">
        <f>IF(A755="","",INDEX(proveedores[Perfil],MATCH(A755,proveedores[Código],0)))</f>
        <v/>
      </c>
      <c r="E755" s="15" t="str">
        <f>IF(A755="","",IFERROR(INDEX(proveedores[Nivel de criticidad],MATCH(A755,proveedores[Código],0)),""))</f>
        <v/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5">
        <f t="shared" si="28"/>
        <v>100</v>
      </c>
      <c r="V755" s="12" t="str">
        <f t="shared" si="29"/>
        <v>Clase A++</v>
      </c>
    </row>
    <row r="756" spans="1:22" x14ac:dyDescent="0.2">
      <c r="A756" s="13"/>
      <c r="B756" s="14" t="str">
        <f>IF(A756="","",INDEX(proveedores[Proveedor],MATCH(A756,proveedores[Código],0)))</f>
        <v/>
      </c>
      <c r="C756" s="14" t="str">
        <f>IF(A756="","",INDEX(proveedores[Material],MATCH(A756,proveedores[Código],0)))</f>
        <v/>
      </c>
      <c r="D756" s="15" t="str">
        <f>IF(A756="","",INDEX(proveedores[Perfil],MATCH(A756,proveedores[Código],0)))</f>
        <v/>
      </c>
      <c r="E756" s="15" t="str">
        <f>IF(A756="","",IFERROR(INDEX(proveedores[Nivel de criticidad],MATCH(A756,proveedores[Código],0)),""))</f>
        <v/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5">
        <f t="shared" si="28"/>
        <v>100</v>
      </c>
      <c r="V756" s="12" t="str">
        <f t="shared" si="29"/>
        <v>Clase A++</v>
      </c>
    </row>
    <row r="757" spans="1:22" x14ac:dyDescent="0.2">
      <c r="A757" s="13"/>
      <c r="B757" s="14" t="str">
        <f>IF(A757="","",INDEX(proveedores[Proveedor],MATCH(A757,proveedores[Código],0)))</f>
        <v/>
      </c>
      <c r="C757" s="14" t="str">
        <f>IF(A757="","",INDEX(proveedores[Material],MATCH(A757,proveedores[Código],0)))</f>
        <v/>
      </c>
      <c r="D757" s="15" t="str">
        <f>IF(A757="","",INDEX(proveedores[Perfil],MATCH(A757,proveedores[Código],0)))</f>
        <v/>
      </c>
      <c r="E757" s="15" t="str">
        <f>IF(A757="","",IFERROR(INDEX(proveedores[Nivel de criticidad],MATCH(A757,proveedores[Código],0)),""))</f>
        <v/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5">
        <f t="shared" si="28"/>
        <v>100</v>
      </c>
      <c r="V757" s="12" t="str">
        <f t="shared" si="29"/>
        <v>Clase A++</v>
      </c>
    </row>
    <row r="758" spans="1:22" x14ac:dyDescent="0.2">
      <c r="A758" s="13"/>
      <c r="B758" s="14" t="str">
        <f>IF(A758="","",INDEX(proveedores[Proveedor],MATCH(A758,proveedores[Código],0)))</f>
        <v/>
      </c>
      <c r="C758" s="14" t="str">
        <f>IF(A758="","",INDEX(proveedores[Material],MATCH(A758,proveedores[Código],0)))</f>
        <v/>
      </c>
      <c r="D758" s="15" t="str">
        <f>IF(A758="","",INDEX(proveedores[Perfil],MATCH(A758,proveedores[Código],0)))</f>
        <v/>
      </c>
      <c r="E758" s="15" t="str">
        <f>IF(A758="","",IFERROR(INDEX(proveedores[Nivel de criticidad],MATCH(A758,proveedores[Código],0)),""))</f>
        <v/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5">
        <f t="shared" si="28"/>
        <v>100</v>
      </c>
      <c r="V758" s="12" t="str">
        <f t="shared" si="29"/>
        <v>Clase A++</v>
      </c>
    </row>
    <row r="759" spans="1:22" x14ac:dyDescent="0.2">
      <c r="A759" s="13"/>
      <c r="B759" s="14" t="str">
        <f>IF(A759="","",INDEX(proveedores[Proveedor],MATCH(A759,proveedores[Código],0)))</f>
        <v/>
      </c>
      <c r="C759" s="14" t="str">
        <f>IF(A759="","",INDEX(proveedores[Material],MATCH(A759,proveedores[Código],0)))</f>
        <v/>
      </c>
      <c r="D759" s="15" t="str">
        <f>IF(A759="","",INDEX(proveedores[Perfil],MATCH(A759,proveedores[Código],0)))</f>
        <v/>
      </c>
      <c r="E759" s="15" t="str">
        <f>IF(A759="","",IFERROR(INDEX(proveedores[Nivel de criticidad],MATCH(A759,proveedores[Código],0)),""))</f>
        <v/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5">
        <f t="shared" si="28"/>
        <v>100</v>
      </c>
      <c r="V759" s="12" t="str">
        <f t="shared" si="29"/>
        <v>Clase A++</v>
      </c>
    </row>
    <row r="760" spans="1:22" x14ac:dyDescent="0.2">
      <c r="A760" s="13"/>
      <c r="B760" s="14" t="str">
        <f>IF(A760="","",INDEX(proveedores[Proveedor],MATCH(A760,proveedores[Código],0)))</f>
        <v/>
      </c>
      <c r="C760" s="14" t="str">
        <f>IF(A760="","",INDEX(proveedores[Material],MATCH(A760,proveedores[Código],0)))</f>
        <v/>
      </c>
      <c r="D760" s="15" t="str">
        <f>IF(A760="","",INDEX(proveedores[Perfil],MATCH(A760,proveedores[Código],0)))</f>
        <v/>
      </c>
      <c r="E760" s="15" t="str">
        <f>IF(A760="","",IFERROR(INDEX(proveedores[Nivel de criticidad],MATCH(A760,proveedores[Código],0)),""))</f>
        <v/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5">
        <f t="shared" si="28"/>
        <v>100</v>
      </c>
      <c r="V760" s="12" t="str">
        <f t="shared" si="29"/>
        <v>Clase A++</v>
      </c>
    </row>
    <row r="761" spans="1:22" x14ac:dyDescent="0.2">
      <c r="A761" s="13"/>
      <c r="B761" s="14" t="str">
        <f>IF(A761="","",INDEX(proveedores[Proveedor],MATCH(A761,proveedores[Código],0)))</f>
        <v/>
      </c>
      <c r="C761" s="14" t="str">
        <f>IF(A761="","",INDEX(proveedores[Material],MATCH(A761,proveedores[Código],0)))</f>
        <v/>
      </c>
      <c r="D761" s="15" t="str">
        <f>IF(A761="","",INDEX(proveedores[Perfil],MATCH(A761,proveedores[Código],0)))</f>
        <v/>
      </c>
      <c r="E761" s="15" t="str">
        <f>IF(A761="","",IFERROR(INDEX(proveedores[Nivel de criticidad],MATCH(A761,proveedores[Código],0)),""))</f>
        <v/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5">
        <f t="shared" si="28"/>
        <v>100</v>
      </c>
      <c r="V761" s="12" t="str">
        <f t="shared" si="29"/>
        <v>Clase A++</v>
      </c>
    </row>
    <row r="762" spans="1:22" x14ac:dyDescent="0.2">
      <c r="A762" s="13"/>
      <c r="B762" s="14" t="str">
        <f>IF(A762="","",INDEX(proveedores[Proveedor],MATCH(A762,proveedores[Código],0)))</f>
        <v/>
      </c>
      <c r="C762" s="14" t="str">
        <f>IF(A762="","",INDEX(proveedores[Material],MATCH(A762,proveedores[Código],0)))</f>
        <v/>
      </c>
      <c r="D762" s="15" t="str">
        <f>IF(A762="","",INDEX(proveedores[Perfil],MATCH(A762,proveedores[Código],0)))</f>
        <v/>
      </c>
      <c r="E762" s="15" t="str">
        <f>IF(A762="","",IFERROR(INDEX(proveedores[Nivel de criticidad],MATCH(A762,proveedores[Código],0)),""))</f>
        <v/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5">
        <f t="shared" si="28"/>
        <v>100</v>
      </c>
      <c r="V762" s="12" t="str">
        <f t="shared" si="29"/>
        <v>Clase A++</v>
      </c>
    </row>
    <row r="763" spans="1:22" x14ac:dyDescent="0.2">
      <c r="A763" s="13"/>
      <c r="B763" s="14" t="str">
        <f>IF(A763="","",INDEX(proveedores[Proveedor],MATCH(A763,proveedores[Código],0)))</f>
        <v/>
      </c>
      <c r="C763" s="14" t="str">
        <f>IF(A763="","",INDEX(proveedores[Material],MATCH(A763,proveedores[Código],0)))</f>
        <v/>
      </c>
      <c r="D763" s="15" t="str">
        <f>IF(A763="","",INDEX(proveedores[Perfil],MATCH(A763,proveedores[Código],0)))</f>
        <v/>
      </c>
      <c r="E763" s="15" t="str">
        <f>IF(A763="","",IFERROR(INDEX(proveedores[Nivel de criticidad],MATCH(A763,proveedores[Código],0)),""))</f>
        <v/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5">
        <f t="shared" si="28"/>
        <v>100</v>
      </c>
      <c r="V763" s="12" t="str">
        <f t="shared" si="29"/>
        <v>Clase A++</v>
      </c>
    </row>
    <row r="764" spans="1:22" x14ac:dyDescent="0.2">
      <c r="A764" s="13"/>
      <c r="B764" s="14" t="str">
        <f>IF(A764="","",INDEX(proveedores[Proveedor],MATCH(A764,proveedores[Código],0)))</f>
        <v/>
      </c>
      <c r="C764" s="14" t="str">
        <f>IF(A764="","",INDEX(proveedores[Material],MATCH(A764,proveedores[Código],0)))</f>
        <v/>
      </c>
      <c r="D764" s="15" t="str">
        <f>IF(A764="","",INDEX(proveedores[Perfil],MATCH(A764,proveedores[Código],0)))</f>
        <v/>
      </c>
      <c r="E764" s="15" t="str">
        <f>IF(A764="","",IFERROR(INDEX(proveedores[Nivel de criticidad],MATCH(A764,proveedores[Código],0)),""))</f>
        <v/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5">
        <f t="shared" si="28"/>
        <v>100</v>
      </c>
      <c r="V764" s="12" t="str">
        <f t="shared" si="29"/>
        <v>Clase A++</v>
      </c>
    </row>
    <row r="765" spans="1:22" x14ac:dyDescent="0.2">
      <c r="A765" s="13"/>
      <c r="B765" s="14" t="str">
        <f>IF(A765="","",INDEX(proveedores[Proveedor],MATCH(A765,proveedores[Código],0)))</f>
        <v/>
      </c>
      <c r="C765" s="14" t="str">
        <f>IF(A765="","",INDEX(proveedores[Material],MATCH(A765,proveedores[Código],0)))</f>
        <v/>
      </c>
      <c r="D765" s="15" t="str">
        <f>IF(A765="","",INDEX(proveedores[Perfil],MATCH(A765,proveedores[Código],0)))</f>
        <v/>
      </c>
      <c r="E765" s="15" t="str">
        <f>IF(A765="","",IFERROR(INDEX(proveedores[Nivel de criticidad],MATCH(A765,proveedores[Código],0)),""))</f>
        <v/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5">
        <f t="shared" si="28"/>
        <v>100</v>
      </c>
      <c r="V765" s="12" t="str">
        <f t="shared" si="29"/>
        <v>Clase A++</v>
      </c>
    </row>
    <row r="766" spans="1:22" x14ac:dyDescent="0.2">
      <c r="A766" s="13"/>
      <c r="B766" s="14" t="str">
        <f>IF(A766="","",INDEX(proveedores[Proveedor],MATCH(A766,proveedores[Código],0)))</f>
        <v/>
      </c>
      <c r="C766" s="14" t="str">
        <f>IF(A766="","",INDEX(proveedores[Material],MATCH(A766,proveedores[Código],0)))</f>
        <v/>
      </c>
      <c r="D766" s="15" t="str">
        <f>IF(A766="","",INDEX(proveedores[Perfil],MATCH(A766,proveedores[Código],0)))</f>
        <v/>
      </c>
      <c r="E766" s="15" t="str">
        <f>IF(A766="","",IFERROR(INDEX(proveedores[Nivel de criticidad],MATCH(A766,proveedores[Código],0)),""))</f>
        <v/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5">
        <f t="shared" si="28"/>
        <v>100</v>
      </c>
      <c r="V766" s="12" t="str">
        <f t="shared" si="29"/>
        <v>Clase A++</v>
      </c>
    </row>
    <row r="767" spans="1:22" x14ac:dyDescent="0.2">
      <c r="A767" s="13"/>
      <c r="B767" s="14" t="str">
        <f>IF(A767="","",INDEX(proveedores[Proveedor],MATCH(A767,proveedores[Código],0)))</f>
        <v/>
      </c>
      <c r="C767" s="14" t="str">
        <f>IF(A767="","",INDEX(proveedores[Material],MATCH(A767,proveedores[Código],0)))</f>
        <v/>
      </c>
      <c r="D767" s="15" t="str">
        <f>IF(A767="","",INDEX(proveedores[Perfil],MATCH(A767,proveedores[Código],0)))</f>
        <v/>
      </c>
      <c r="E767" s="15" t="str">
        <f>IF(A767="","",IFERROR(INDEX(proveedores[Nivel de criticidad],MATCH(A767,proveedores[Código],0)),""))</f>
        <v/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5">
        <f t="shared" si="28"/>
        <v>100</v>
      </c>
      <c r="V767" s="12" t="str">
        <f t="shared" si="29"/>
        <v>Clase A++</v>
      </c>
    </row>
    <row r="768" spans="1:22" x14ac:dyDescent="0.2">
      <c r="A768" s="13"/>
      <c r="B768" s="14" t="str">
        <f>IF(A768="","",INDEX(proveedores[Proveedor],MATCH(A768,proveedores[Código],0)))</f>
        <v/>
      </c>
      <c r="C768" s="14" t="str">
        <f>IF(A768="","",INDEX(proveedores[Material],MATCH(A768,proveedores[Código],0)))</f>
        <v/>
      </c>
      <c r="D768" s="15" t="str">
        <f>IF(A768="","",INDEX(proveedores[Perfil],MATCH(A768,proveedores[Código],0)))</f>
        <v/>
      </c>
      <c r="E768" s="15" t="str">
        <f>IF(A768="","",IFERROR(INDEX(proveedores[Nivel de criticidad],MATCH(A768,proveedores[Código],0)),""))</f>
        <v/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5">
        <f t="shared" si="28"/>
        <v>100</v>
      </c>
      <c r="V768" s="12" t="str">
        <f t="shared" si="29"/>
        <v>Clase A++</v>
      </c>
    </row>
    <row r="769" spans="1:22" x14ac:dyDescent="0.2">
      <c r="A769" s="13"/>
      <c r="B769" s="14" t="str">
        <f>IF(A769="","",INDEX(proveedores[Proveedor],MATCH(A769,proveedores[Código],0)))</f>
        <v/>
      </c>
      <c r="C769" s="14" t="str">
        <f>IF(A769="","",INDEX(proveedores[Material],MATCH(A769,proveedores[Código],0)))</f>
        <v/>
      </c>
      <c r="D769" s="15" t="str">
        <f>IF(A769="","",INDEX(proveedores[Perfil],MATCH(A769,proveedores[Código],0)))</f>
        <v/>
      </c>
      <c r="E769" s="15" t="str">
        <f>IF(A769="","",IFERROR(INDEX(proveedores[Nivel de criticidad],MATCH(A769,proveedores[Código],0)),""))</f>
        <v/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5">
        <f t="shared" si="28"/>
        <v>100</v>
      </c>
      <c r="V769" s="12" t="str">
        <f t="shared" si="29"/>
        <v>Clase A++</v>
      </c>
    </row>
    <row r="770" spans="1:22" x14ac:dyDescent="0.2">
      <c r="A770" s="13"/>
      <c r="B770" s="14" t="str">
        <f>IF(A770="","",INDEX(proveedores[Proveedor],MATCH(A770,proveedores[Código],0)))</f>
        <v/>
      </c>
      <c r="C770" s="14" t="str">
        <f>IF(A770="","",INDEX(proveedores[Material],MATCH(A770,proveedores[Código],0)))</f>
        <v/>
      </c>
      <c r="D770" s="15" t="str">
        <f>IF(A770="","",INDEX(proveedores[Perfil],MATCH(A770,proveedores[Código],0)))</f>
        <v/>
      </c>
      <c r="E770" s="15" t="str">
        <f>IF(A770="","",IFERROR(INDEX(proveedores[Nivel de criticidad],MATCH(A770,proveedores[Código],0)),""))</f>
        <v/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5">
        <f t="shared" si="28"/>
        <v>100</v>
      </c>
      <c r="V770" s="12" t="str">
        <f t="shared" si="29"/>
        <v>Clase A++</v>
      </c>
    </row>
    <row r="771" spans="1:22" x14ac:dyDescent="0.2">
      <c r="A771" s="13"/>
      <c r="B771" s="14" t="str">
        <f>IF(A771="","",INDEX(proveedores[Proveedor],MATCH(A771,proveedores[Código],0)))</f>
        <v/>
      </c>
      <c r="C771" s="14" t="str">
        <f>IF(A771="","",INDEX(proveedores[Material],MATCH(A771,proveedores[Código],0)))</f>
        <v/>
      </c>
      <c r="D771" s="15" t="str">
        <f>IF(A771="","",INDEX(proveedores[Perfil],MATCH(A771,proveedores[Código],0)))</f>
        <v/>
      </c>
      <c r="E771" s="15" t="str">
        <f>IF(A771="","",IFERROR(INDEX(proveedores[Nivel de criticidad],MATCH(A771,proveedores[Código],0)),""))</f>
        <v/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5">
        <f t="shared" si="28"/>
        <v>100</v>
      </c>
      <c r="V771" s="12" t="str">
        <f t="shared" si="29"/>
        <v>Clase A++</v>
      </c>
    </row>
    <row r="772" spans="1:22" x14ac:dyDescent="0.2">
      <c r="A772" s="13"/>
      <c r="B772" s="14" t="str">
        <f>IF(A772="","",INDEX(proveedores[Proveedor],MATCH(A772,proveedores[Código],0)))</f>
        <v/>
      </c>
      <c r="C772" s="14" t="str">
        <f>IF(A772="","",INDEX(proveedores[Material],MATCH(A772,proveedores[Código],0)))</f>
        <v/>
      </c>
      <c r="D772" s="15" t="str">
        <f>IF(A772="","",INDEX(proveedores[Perfil],MATCH(A772,proveedores[Código],0)))</f>
        <v/>
      </c>
      <c r="E772" s="15" t="str">
        <f>IF(A772="","",IFERROR(INDEX(proveedores[Nivel de criticidad],MATCH(A772,proveedores[Código],0)),""))</f>
        <v/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5">
        <f t="shared" si="28"/>
        <v>100</v>
      </c>
      <c r="V772" s="12" t="str">
        <f t="shared" si="29"/>
        <v>Clase A++</v>
      </c>
    </row>
    <row r="773" spans="1:22" x14ac:dyDescent="0.2">
      <c r="A773" s="13"/>
      <c r="B773" s="14" t="str">
        <f>IF(A773="","",INDEX(proveedores[Proveedor],MATCH(A773,proveedores[Código],0)))</f>
        <v/>
      </c>
      <c r="C773" s="14" t="str">
        <f>IF(A773="","",INDEX(proveedores[Material],MATCH(A773,proveedores[Código],0)))</f>
        <v/>
      </c>
      <c r="D773" s="15" t="str">
        <f>IF(A773="","",INDEX(proveedores[Perfil],MATCH(A773,proveedores[Código],0)))</f>
        <v/>
      </c>
      <c r="E773" s="15" t="str">
        <f>IF(A773="","",IFERROR(INDEX(proveedores[Nivel de criticidad],MATCH(A773,proveedores[Código],0)),""))</f>
        <v/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5">
        <f t="shared" si="28"/>
        <v>100</v>
      </c>
      <c r="V773" s="12" t="str">
        <f t="shared" si="29"/>
        <v>Clase A++</v>
      </c>
    </row>
    <row r="774" spans="1:22" x14ac:dyDescent="0.2">
      <c r="A774" s="13"/>
      <c r="B774" s="14" t="str">
        <f>IF(A774="","",INDEX(proveedores[Proveedor],MATCH(A774,proveedores[Código],0)))</f>
        <v/>
      </c>
      <c r="C774" s="14" t="str">
        <f>IF(A774="","",INDEX(proveedores[Material],MATCH(A774,proveedores[Código],0)))</f>
        <v/>
      </c>
      <c r="D774" s="15" t="str">
        <f>IF(A774="","",INDEX(proveedores[Perfil],MATCH(A774,proveedores[Código],0)))</f>
        <v/>
      </c>
      <c r="E774" s="15" t="str">
        <f>IF(A774="","",IFERROR(INDEX(proveedores[Nivel de criticidad],MATCH(A774,proveedores[Código],0)),""))</f>
        <v/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5">
        <f t="shared" ref="U774:U837" si="30">IF(D774="Internacional", MIN(IF(((F774*10)+(G774*3)+(H774*4)+(I774*5)+(J774*8)+(O774*5)+(P774*2)+IF(L774="N/A",0,(L774*10)+(M774*5)+(N774*3)))&gt;0,98,100), ((MAX(0, 30 - (F774*10) - (G774*3))/30)*45) + ((MAX(0, 25 - (H774*4) - (I774*5) - (J774*8) - (K774*5))/25)*35) + ((MAX(0, 15 - (O774*5) - (P774*2))/15)*20) + (IF(Q774="N/A",0,Q774)*2.5) + (IF(R774="N/A",0,R774)*2.5) + (IF(S774="N/A",0,S774)*2.5) + (IF(T774="N/A",0,T774)*2.5)), IF(D774="Local Insumos", MIN(IF(((F774*10)+(G774*3)+(H774*4)+(I774*5)+(J774*8)+(O774*5)+(P774*2)+IF(L774="N/A",0,(L774*10)+(M774*5)+(N774*3)))&gt;0,98,100), ((MAX(0, 30 - (F774*10) - (G774*3))/30)*35) + ((MAX(0, 25 - (H774*4) - (I774*5) - (J774*8) - (K774*5))/25)*30) + MAX(0, 20 - (L774*10) - (M774*5) - (N774*3)) + MAX(0, 15 - (O774*5) - (P774*2)) + (IF(Q774="N/A",0,Q774)*2.5) + (IF(R774="N/A",0,R774)*2.5) + (IF(S774="N/A",0,S774)*2.5) + (IF(T774="N/A",0,T774)*2.5)), MIN(IF(((F774*10)+(G774*3)+(H774*4)+(I774*5)+(J774*8)+(O774*5)+(P774*2)+IF(L774="N/A",0,(L774*10)+(M774*5)+(N774*3)))&gt;0,98,100), ((MAX(0, 25 - (H774*4) - (I774*5) - (J774*8) - (K774*5))/25)*55) + ((MAX(0, 20 - (L774*10) - (M774*5) - (N774*3))/20)*30) + ((MAX(0, 15 - (O774*5) - (P774*2))/15)*15))))</f>
        <v>100</v>
      </c>
      <c r="V774" s="12" t="str">
        <f t="shared" si="29"/>
        <v>Clase A++</v>
      </c>
    </row>
    <row r="775" spans="1:22" x14ac:dyDescent="0.2">
      <c r="A775" s="13"/>
      <c r="B775" s="14" t="str">
        <f>IF(A775="","",INDEX(proveedores[Proveedor],MATCH(A775,proveedores[Código],0)))</f>
        <v/>
      </c>
      <c r="C775" s="14" t="str">
        <f>IF(A775="","",INDEX(proveedores[Material],MATCH(A775,proveedores[Código],0)))</f>
        <v/>
      </c>
      <c r="D775" s="15" t="str">
        <f>IF(A775="","",INDEX(proveedores[Perfil],MATCH(A775,proveedores[Código],0)))</f>
        <v/>
      </c>
      <c r="E775" s="15" t="str">
        <f>IF(A775="","",IFERROR(INDEX(proveedores[Nivel de criticidad],MATCH(A775,proveedores[Código],0)),""))</f>
        <v/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5">
        <f t="shared" si="30"/>
        <v>100</v>
      </c>
      <c r="V775" s="12" t="str">
        <f t="shared" ref="V775:V838" si="31">IF(U775&gt;=96, "Clase A++", IF(U775&gt;=85, "Clase A", IF(U775&gt;=70, "Clase B", "Clase C")))</f>
        <v>Clase A++</v>
      </c>
    </row>
    <row r="776" spans="1:22" x14ac:dyDescent="0.2">
      <c r="A776" s="13"/>
      <c r="B776" s="14" t="str">
        <f>IF(A776="","",INDEX(proveedores[Proveedor],MATCH(A776,proveedores[Código],0)))</f>
        <v/>
      </c>
      <c r="C776" s="14" t="str">
        <f>IF(A776="","",INDEX(proveedores[Material],MATCH(A776,proveedores[Código],0)))</f>
        <v/>
      </c>
      <c r="D776" s="15" t="str">
        <f>IF(A776="","",INDEX(proveedores[Perfil],MATCH(A776,proveedores[Código],0)))</f>
        <v/>
      </c>
      <c r="E776" s="15" t="str">
        <f>IF(A776="","",IFERROR(INDEX(proveedores[Nivel de criticidad],MATCH(A776,proveedores[Código],0)),""))</f>
        <v/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5">
        <f t="shared" si="30"/>
        <v>100</v>
      </c>
      <c r="V776" s="12" t="str">
        <f t="shared" si="31"/>
        <v>Clase A++</v>
      </c>
    </row>
    <row r="777" spans="1:22" x14ac:dyDescent="0.2">
      <c r="A777" s="13"/>
      <c r="B777" s="14" t="str">
        <f>IF(A777="","",INDEX(proveedores[Proveedor],MATCH(A777,proveedores[Código],0)))</f>
        <v/>
      </c>
      <c r="C777" s="14" t="str">
        <f>IF(A777="","",INDEX(proveedores[Material],MATCH(A777,proveedores[Código],0)))</f>
        <v/>
      </c>
      <c r="D777" s="15" t="str">
        <f>IF(A777="","",INDEX(proveedores[Perfil],MATCH(A777,proveedores[Código],0)))</f>
        <v/>
      </c>
      <c r="E777" s="15" t="str">
        <f>IF(A777="","",IFERROR(INDEX(proveedores[Nivel de criticidad],MATCH(A777,proveedores[Código],0)),""))</f>
        <v/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5">
        <f t="shared" si="30"/>
        <v>100</v>
      </c>
      <c r="V777" s="12" t="str">
        <f t="shared" si="31"/>
        <v>Clase A++</v>
      </c>
    </row>
    <row r="778" spans="1:22" x14ac:dyDescent="0.2">
      <c r="A778" s="13"/>
      <c r="B778" s="14" t="str">
        <f>IF(A778="","",INDEX(proveedores[Proveedor],MATCH(A778,proveedores[Código],0)))</f>
        <v/>
      </c>
      <c r="C778" s="14" t="str">
        <f>IF(A778="","",INDEX(proveedores[Material],MATCH(A778,proveedores[Código],0)))</f>
        <v/>
      </c>
      <c r="D778" s="15" t="str">
        <f>IF(A778="","",INDEX(proveedores[Perfil],MATCH(A778,proveedores[Código],0)))</f>
        <v/>
      </c>
      <c r="E778" s="15" t="str">
        <f>IF(A778="","",IFERROR(INDEX(proveedores[Nivel de criticidad],MATCH(A778,proveedores[Código],0)),""))</f>
        <v/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5">
        <f t="shared" si="30"/>
        <v>100</v>
      </c>
      <c r="V778" s="12" t="str">
        <f t="shared" si="31"/>
        <v>Clase A++</v>
      </c>
    </row>
    <row r="779" spans="1:22" x14ac:dyDescent="0.2">
      <c r="A779" s="13"/>
      <c r="B779" s="14" t="str">
        <f>IF(A779="","",INDEX(proveedores[Proveedor],MATCH(A779,proveedores[Código],0)))</f>
        <v/>
      </c>
      <c r="C779" s="14" t="str">
        <f>IF(A779="","",INDEX(proveedores[Material],MATCH(A779,proveedores[Código],0)))</f>
        <v/>
      </c>
      <c r="D779" s="15" t="str">
        <f>IF(A779="","",INDEX(proveedores[Perfil],MATCH(A779,proveedores[Código],0)))</f>
        <v/>
      </c>
      <c r="E779" s="15" t="str">
        <f>IF(A779="","",IFERROR(INDEX(proveedores[Nivel de criticidad],MATCH(A779,proveedores[Código],0)),""))</f>
        <v/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5">
        <f t="shared" si="30"/>
        <v>100</v>
      </c>
      <c r="V779" s="12" t="str">
        <f t="shared" si="31"/>
        <v>Clase A++</v>
      </c>
    </row>
    <row r="780" spans="1:22" x14ac:dyDescent="0.2">
      <c r="A780" s="13"/>
      <c r="B780" s="14" t="str">
        <f>IF(A780="","",INDEX(proveedores[Proveedor],MATCH(A780,proveedores[Código],0)))</f>
        <v/>
      </c>
      <c r="C780" s="14" t="str">
        <f>IF(A780="","",INDEX(proveedores[Material],MATCH(A780,proveedores[Código],0)))</f>
        <v/>
      </c>
      <c r="D780" s="15" t="str">
        <f>IF(A780="","",INDEX(proveedores[Perfil],MATCH(A780,proveedores[Código],0)))</f>
        <v/>
      </c>
      <c r="E780" s="15" t="str">
        <f>IF(A780="","",IFERROR(INDEX(proveedores[Nivel de criticidad],MATCH(A780,proveedores[Código],0)),""))</f>
        <v/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5">
        <f t="shared" si="30"/>
        <v>100</v>
      </c>
      <c r="V780" s="12" t="str">
        <f t="shared" si="31"/>
        <v>Clase A++</v>
      </c>
    </row>
    <row r="781" spans="1:22" x14ac:dyDescent="0.2">
      <c r="A781" s="13"/>
      <c r="B781" s="14" t="str">
        <f>IF(A781="","",INDEX(proveedores[Proveedor],MATCH(A781,proveedores[Código],0)))</f>
        <v/>
      </c>
      <c r="C781" s="14" t="str">
        <f>IF(A781="","",INDEX(proveedores[Material],MATCH(A781,proveedores[Código],0)))</f>
        <v/>
      </c>
      <c r="D781" s="15" t="str">
        <f>IF(A781="","",INDEX(proveedores[Perfil],MATCH(A781,proveedores[Código],0)))</f>
        <v/>
      </c>
      <c r="E781" s="15" t="str">
        <f>IF(A781="","",IFERROR(INDEX(proveedores[Nivel de criticidad],MATCH(A781,proveedores[Código],0)),""))</f>
        <v/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5">
        <f t="shared" si="30"/>
        <v>100</v>
      </c>
      <c r="V781" s="12" t="str">
        <f t="shared" si="31"/>
        <v>Clase A++</v>
      </c>
    </row>
    <row r="782" spans="1:22" x14ac:dyDescent="0.2">
      <c r="A782" s="13"/>
      <c r="B782" s="14" t="str">
        <f>IF(A782="","",INDEX(proveedores[Proveedor],MATCH(A782,proveedores[Código],0)))</f>
        <v/>
      </c>
      <c r="C782" s="14" t="str">
        <f>IF(A782="","",INDEX(proveedores[Material],MATCH(A782,proveedores[Código],0)))</f>
        <v/>
      </c>
      <c r="D782" s="15" t="str">
        <f>IF(A782="","",INDEX(proveedores[Perfil],MATCH(A782,proveedores[Código],0)))</f>
        <v/>
      </c>
      <c r="E782" s="15" t="str">
        <f>IF(A782="","",IFERROR(INDEX(proveedores[Nivel de criticidad],MATCH(A782,proveedores[Código],0)),""))</f>
        <v/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5">
        <f t="shared" si="30"/>
        <v>100</v>
      </c>
      <c r="V782" s="12" t="str">
        <f t="shared" si="31"/>
        <v>Clase A++</v>
      </c>
    </row>
    <row r="783" spans="1:22" x14ac:dyDescent="0.2">
      <c r="A783" s="13"/>
      <c r="B783" s="14" t="str">
        <f>IF(A783="","",INDEX(proveedores[Proveedor],MATCH(A783,proveedores[Código],0)))</f>
        <v/>
      </c>
      <c r="C783" s="14" t="str">
        <f>IF(A783="","",INDEX(proveedores[Material],MATCH(A783,proveedores[Código],0)))</f>
        <v/>
      </c>
      <c r="D783" s="15" t="str">
        <f>IF(A783="","",INDEX(proveedores[Perfil],MATCH(A783,proveedores[Código],0)))</f>
        <v/>
      </c>
      <c r="E783" s="15" t="str">
        <f>IF(A783="","",IFERROR(INDEX(proveedores[Nivel de criticidad],MATCH(A783,proveedores[Código],0)),""))</f>
        <v/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5">
        <f t="shared" si="30"/>
        <v>100</v>
      </c>
      <c r="V783" s="12" t="str">
        <f t="shared" si="31"/>
        <v>Clase A++</v>
      </c>
    </row>
    <row r="784" spans="1:22" x14ac:dyDescent="0.2">
      <c r="A784" s="13"/>
      <c r="B784" s="14" t="str">
        <f>IF(A784="","",INDEX(proveedores[Proveedor],MATCH(A784,proveedores[Código],0)))</f>
        <v/>
      </c>
      <c r="C784" s="14" t="str">
        <f>IF(A784="","",INDEX(proveedores[Material],MATCH(A784,proveedores[Código],0)))</f>
        <v/>
      </c>
      <c r="D784" s="15" t="str">
        <f>IF(A784="","",INDEX(proveedores[Perfil],MATCH(A784,proveedores[Código],0)))</f>
        <v/>
      </c>
      <c r="E784" s="15" t="str">
        <f>IF(A784="","",IFERROR(INDEX(proveedores[Nivel de criticidad],MATCH(A784,proveedores[Código],0)),""))</f>
        <v/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5">
        <f t="shared" si="30"/>
        <v>100</v>
      </c>
      <c r="V784" s="12" t="str">
        <f t="shared" si="31"/>
        <v>Clase A++</v>
      </c>
    </row>
    <row r="785" spans="1:22" x14ac:dyDescent="0.2">
      <c r="A785" s="13"/>
      <c r="B785" s="14" t="str">
        <f>IF(A785="","",INDEX(proveedores[Proveedor],MATCH(A785,proveedores[Código],0)))</f>
        <v/>
      </c>
      <c r="C785" s="14" t="str">
        <f>IF(A785="","",INDEX(proveedores[Material],MATCH(A785,proveedores[Código],0)))</f>
        <v/>
      </c>
      <c r="D785" s="15" t="str">
        <f>IF(A785="","",INDEX(proveedores[Perfil],MATCH(A785,proveedores[Código],0)))</f>
        <v/>
      </c>
      <c r="E785" s="15" t="str">
        <f>IF(A785="","",IFERROR(INDEX(proveedores[Nivel de criticidad],MATCH(A785,proveedores[Código],0)),""))</f>
        <v/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5">
        <f t="shared" si="30"/>
        <v>100</v>
      </c>
      <c r="V785" s="12" t="str">
        <f t="shared" si="31"/>
        <v>Clase A++</v>
      </c>
    </row>
    <row r="786" spans="1:22" x14ac:dyDescent="0.2">
      <c r="A786" s="13"/>
      <c r="B786" s="14" t="str">
        <f>IF(A786="","",INDEX(proveedores[Proveedor],MATCH(A786,proveedores[Código],0)))</f>
        <v/>
      </c>
      <c r="C786" s="14" t="str">
        <f>IF(A786="","",INDEX(proveedores[Material],MATCH(A786,proveedores[Código],0)))</f>
        <v/>
      </c>
      <c r="D786" s="15" t="str">
        <f>IF(A786="","",INDEX(proveedores[Perfil],MATCH(A786,proveedores[Código],0)))</f>
        <v/>
      </c>
      <c r="E786" s="15" t="str">
        <f>IF(A786="","",IFERROR(INDEX(proveedores[Nivel de criticidad],MATCH(A786,proveedores[Código],0)),""))</f>
        <v/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5">
        <f t="shared" si="30"/>
        <v>100</v>
      </c>
      <c r="V786" s="12" t="str">
        <f t="shared" si="31"/>
        <v>Clase A++</v>
      </c>
    </row>
    <row r="787" spans="1:22" x14ac:dyDescent="0.2">
      <c r="A787" s="13"/>
      <c r="B787" s="14" t="str">
        <f>IF(A787="","",INDEX(proveedores[Proveedor],MATCH(A787,proveedores[Código],0)))</f>
        <v/>
      </c>
      <c r="C787" s="14" t="str">
        <f>IF(A787="","",INDEX(proveedores[Material],MATCH(A787,proveedores[Código],0)))</f>
        <v/>
      </c>
      <c r="D787" s="15" t="str">
        <f>IF(A787="","",INDEX(proveedores[Perfil],MATCH(A787,proveedores[Código],0)))</f>
        <v/>
      </c>
      <c r="E787" s="15" t="str">
        <f>IF(A787="","",IFERROR(INDEX(proveedores[Nivel de criticidad],MATCH(A787,proveedores[Código],0)),""))</f>
        <v/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5">
        <f t="shared" si="30"/>
        <v>100</v>
      </c>
      <c r="V787" s="12" t="str">
        <f t="shared" si="31"/>
        <v>Clase A++</v>
      </c>
    </row>
    <row r="788" spans="1:22" x14ac:dyDescent="0.2">
      <c r="A788" s="13"/>
      <c r="B788" s="14" t="str">
        <f>IF(A788="","",INDEX(proveedores[Proveedor],MATCH(A788,proveedores[Código],0)))</f>
        <v/>
      </c>
      <c r="C788" s="14" t="str">
        <f>IF(A788="","",INDEX(proveedores[Material],MATCH(A788,proveedores[Código],0)))</f>
        <v/>
      </c>
      <c r="D788" s="15" t="str">
        <f>IF(A788="","",INDEX(proveedores[Perfil],MATCH(A788,proveedores[Código],0)))</f>
        <v/>
      </c>
      <c r="E788" s="15" t="str">
        <f>IF(A788="","",IFERROR(INDEX(proveedores[Nivel de criticidad],MATCH(A788,proveedores[Código],0)),""))</f>
        <v/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5">
        <f t="shared" si="30"/>
        <v>100</v>
      </c>
      <c r="V788" s="12" t="str">
        <f t="shared" si="31"/>
        <v>Clase A++</v>
      </c>
    </row>
    <row r="789" spans="1:22" x14ac:dyDescent="0.2">
      <c r="A789" s="13"/>
      <c r="B789" s="14" t="str">
        <f>IF(A789="","",INDEX(proveedores[Proveedor],MATCH(A789,proveedores[Código],0)))</f>
        <v/>
      </c>
      <c r="C789" s="14" t="str">
        <f>IF(A789="","",INDEX(proveedores[Material],MATCH(A789,proveedores[Código],0)))</f>
        <v/>
      </c>
      <c r="D789" s="15" t="str">
        <f>IF(A789="","",INDEX(proveedores[Perfil],MATCH(A789,proveedores[Código],0)))</f>
        <v/>
      </c>
      <c r="E789" s="15" t="str">
        <f>IF(A789="","",IFERROR(INDEX(proveedores[Nivel de criticidad],MATCH(A789,proveedores[Código],0)),""))</f>
        <v/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5">
        <f t="shared" si="30"/>
        <v>100</v>
      </c>
      <c r="V789" s="12" t="str">
        <f t="shared" si="31"/>
        <v>Clase A++</v>
      </c>
    </row>
    <row r="790" spans="1:22" x14ac:dyDescent="0.2">
      <c r="A790" s="13"/>
      <c r="B790" s="14" t="str">
        <f>IF(A790="","",INDEX(proveedores[Proveedor],MATCH(A790,proveedores[Código],0)))</f>
        <v/>
      </c>
      <c r="C790" s="14" t="str">
        <f>IF(A790="","",INDEX(proveedores[Material],MATCH(A790,proveedores[Código],0)))</f>
        <v/>
      </c>
      <c r="D790" s="15" t="str">
        <f>IF(A790="","",INDEX(proveedores[Perfil],MATCH(A790,proveedores[Código],0)))</f>
        <v/>
      </c>
      <c r="E790" s="15" t="str">
        <f>IF(A790="","",IFERROR(INDEX(proveedores[Nivel de criticidad],MATCH(A790,proveedores[Código],0)),""))</f>
        <v/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5">
        <f t="shared" si="30"/>
        <v>100</v>
      </c>
      <c r="V790" s="12" t="str">
        <f t="shared" si="31"/>
        <v>Clase A++</v>
      </c>
    </row>
    <row r="791" spans="1:22" x14ac:dyDescent="0.2">
      <c r="A791" s="13"/>
      <c r="B791" s="14" t="str">
        <f>IF(A791="","",INDEX(proveedores[Proveedor],MATCH(A791,proveedores[Código],0)))</f>
        <v/>
      </c>
      <c r="C791" s="14" t="str">
        <f>IF(A791="","",INDEX(proveedores[Material],MATCH(A791,proveedores[Código],0)))</f>
        <v/>
      </c>
      <c r="D791" s="15" t="str">
        <f>IF(A791="","",INDEX(proveedores[Perfil],MATCH(A791,proveedores[Código],0)))</f>
        <v/>
      </c>
      <c r="E791" s="15" t="str">
        <f>IF(A791="","",IFERROR(INDEX(proveedores[Nivel de criticidad],MATCH(A791,proveedores[Código],0)),""))</f>
        <v/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5">
        <f t="shared" si="30"/>
        <v>100</v>
      </c>
      <c r="V791" s="12" t="str">
        <f t="shared" si="31"/>
        <v>Clase A++</v>
      </c>
    </row>
    <row r="792" spans="1:22" x14ac:dyDescent="0.2">
      <c r="A792" s="13"/>
      <c r="B792" s="14" t="str">
        <f>IF(A792="","",INDEX(proveedores[Proveedor],MATCH(A792,proveedores[Código],0)))</f>
        <v/>
      </c>
      <c r="C792" s="14" t="str">
        <f>IF(A792="","",INDEX(proveedores[Material],MATCH(A792,proveedores[Código],0)))</f>
        <v/>
      </c>
      <c r="D792" s="15" t="str">
        <f>IF(A792="","",INDEX(proveedores[Perfil],MATCH(A792,proveedores[Código],0)))</f>
        <v/>
      </c>
      <c r="E792" s="15" t="str">
        <f>IF(A792="","",IFERROR(INDEX(proveedores[Nivel de criticidad],MATCH(A792,proveedores[Código],0)),""))</f>
        <v/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5">
        <f t="shared" si="30"/>
        <v>100</v>
      </c>
      <c r="V792" s="12" t="str">
        <f t="shared" si="31"/>
        <v>Clase A++</v>
      </c>
    </row>
    <row r="793" spans="1:22" x14ac:dyDescent="0.2">
      <c r="A793" s="13"/>
      <c r="B793" s="14" t="str">
        <f>IF(A793="","",INDEX(proveedores[Proveedor],MATCH(A793,proveedores[Código],0)))</f>
        <v/>
      </c>
      <c r="C793" s="14" t="str">
        <f>IF(A793="","",INDEX(proveedores[Material],MATCH(A793,proveedores[Código],0)))</f>
        <v/>
      </c>
      <c r="D793" s="15" t="str">
        <f>IF(A793="","",INDEX(proveedores[Perfil],MATCH(A793,proveedores[Código],0)))</f>
        <v/>
      </c>
      <c r="E793" s="15" t="str">
        <f>IF(A793="","",IFERROR(INDEX(proveedores[Nivel de criticidad],MATCH(A793,proveedores[Código],0)),""))</f>
        <v/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5">
        <f t="shared" si="30"/>
        <v>100</v>
      </c>
      <c r="V793" s="12" t="str">
        <f t="shared" si="31"/>
        <v>Clase A++</v>
      </c>
    </row>
    <row r="794" spans="1:22" x14ac:dyDescent="0.2">
      <c r="A794" s="13"/>
      <c r="B794" s="14" t="str">
        <f>IF(A794="","",INDEX(proveedores[Proveedor],MATCH(A794,proveedores[Código],0)))</f>
        <v/>
      </c>
      <c r="C794" s="14" t="str">
        <f>IF(A794="","",INDEX(proveedores[Material],MATCH(A794,proveedores[Código],0)))</f>
        <v/>
      </c>
      <c r="D794" s="15" t="str">
        <f>IF(A794="","",INDEX(proveedores[Perfil],MATCH(A794,proveedores[Código],0)))</f>
        <v/>
      </c>
      <c r="E794" s="15" t="str">
        <f>IF(A794="","",IFERROR(INDEX(proveedores[Nivel de criticidad],MATCH(A794,proveedores[Código],0)),""))</f>
        <v/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5">
        <f t="shared" si="30"/>
        <v>100</v>
      </c>
      <c r="V794" s="12" t="str">
        <f t="shared" si="31"/>
        <v>Clase A++</v>
      </c>
    </row>
    <row r="795" spans="1:22" x14ac:dyDescent="0.2">
      <c r="A795" s="13"/>
      <c r="B795" s="14" t="str">
        <f>IF(A795="","",INDEX(proveedores[Proveedor],MATCH(A795,proveedores[Código],0)))</f>
        <v/>
      </c>
      <c r="C795" s="14" t="str">
        <f>IF(A795="","",INDEX(proveedores[Material],MATCH(A795,proveedores[Código],0)))</f>
        <v/>
      </c>
      <c r="D795" s="15" t="str">
        <f>IF(A795="","",INDEX(proveedores[Perfil],MATCH(A795,proveedores[Código],0)))</f>
        <v/>
      </c>
      <c r="E795" s="15" t="str">
        <f>IF(A795="","",IFERROR(INDEX(proveedores[Nivel de criticidad],MATCH(A795,proveedores[Código],0)),""))</f>
        <v/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5">
        <f t="shared" si="30"/>
        <v>100</v>
      </c>
      <c r="V795" s="12" t="str">
        <f t="shared" si="31"/>
        <v>Clase A++</v>
      </c>
    </row>
    <row r="796" spans="1:22" x14ac:dyDescent="0.2">
      <c r="A796" s="13"/>
      <c r="B796" s="14" t="str">
        <f>IF(A796="","",INDEX(proveedores[Proveedor],MATCH(A796,proveedores[Código],0)))</f>
        <v/>
      </c>
      <c r="C796" s="14" t="str">
        <f>IF(A796="","",INDEX(proveedores[Material],MATCH(A796,proveedores[Código],0)))</f>
        <v/>
      </c>
      <c r="D796" s="15" t="str">
        <f>IF(A796="","",INDEX(proveedores[Perfil],MATCH(A796,proveedores[Código],0)))</f>
        <v/>
      </c>
      <c r="E796" s="15" t="str">
        <f>IF(A796="","",IFERROR(INDEX(proveedores[Nivel de criticidad],MATCH(A796,proveedores[Código],0)),""))</f>
        <v/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5">
        <f t="shared" si="30"/>
        <v>100</v>
      </c>
      <c r="V796" s="12" t="str">
        <f t="shared" si="31"/>
        <v>Clase A++</v>
      </c>
    </row>
    <row r="797" spans="1:22" x14ac:dyDescent="0.2">
      <c r="A797" s="13"/>
      <c r="B797" s="14" t="str">
        <f>IF(A797="","",INDEX(proveedores[Proveedor],MATCH(A797,proveedores[Código],0)))</f>
        <v/>
      </c>
      <c r="C797" s="14" t="str">
        <f>IF(A797="","",INDEX(proveedores[Material],MATCH(A797,proveedores[Código],0)))</f>
        <v/>
      </c>
      <c r="D797" s="15" t="str">
        <f>IF(A797="","",INDEX(proveedores[Perfil],MATCH(A797,proveedores[Código],0)))</f>
        <v/>
      </c>
      <c r="E797" s="15" t="str">
        <f>IF(A797="","",IFERROR(INDEX(proveedores[Nivel de criticidad],MATCH(A797,proveedores[Código],0)),""))</f>
        <v/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5">
        <f t="shared" si="30"/>
        <v>100</v>
      </c>
      <c r="V797" s="12" t="str">
        <f t="shared" si="31"/>
        <v>Clase A++</v>
      </c>
    </row>
    <row r="798" spans="1:22" x14ac:dyDescent="0.2">
      <c r="A798" s="13"/>
      <c r="B798" s="14" t="str">
        <f>IF(A798="","",INDEX(proveedores[Proveedor],MATCH(A798,proveedores[Código],0)))</f>
        <v/>
      </c>
      <c r="C798" s="14" t="str">
        <f>IF(A798="","",INDEX(proveedores[Material],MATCH(A798,proveedores[Código],0)))</f>
        <v/>
      </c>
      <c r="D798" s="15" t="str">
        <f>IF(A798="","",INDEX(proveedores[Perfil],MATCH(A798,proveedores[Código],0)))</f>
        <v/>
      </c>
      <c r="E798" s="15" t="str">
        <f>IF(A798="","",IFERROR(INDEX(proveedores[Nivel de criticidad],MATCH(A798,proveedores[Código],0)),""))</f>
        <v/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5">
        <f t="shared" si="30"/>
        <v>100</v>
      </c>
      <c r="V798" s="12" t="str">
        <f t="shared" si="31"/>
        <v>Clase A++</v>
      </c>
    </row>
    <row r="799" spans="1:22" x14ac:dyDescent="0.2">
      <c r="A799" s="13"/>
      <c r="B799" s="14" t="str">
        <f>IF(A799="","",INDEX(proveedores[Proveedor],MATCH(A799,proveedores[Código],0)))</f>
        <v/>
      </c>
      <c r="C799" s="14" t="str">
        <f>IF(A799="","",INDEX(proveedores[Material],MATCH(A799,proveedores[Código],0)))</f>
        <v/>
      </c>
      <c r="D799" s="15" t="str">
        <f>IF(A799="","",INDEX(proveedores[Perfil],MATCH(A799,proveedores[Código],0)))</f>
        <v/>
      </c>
      <c r="E799" s="15" t="str">
        <f>IF(A799="","",IFERROR(INDEX(proveedores[Nivel de criticidad],MATCH(A799,proveedores[Código],0)),""))</f>
        <v/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5">
        <f t="shared" si="30"/>
        <v>100</v>
      </c>
      <c r="V799" s="12" t="str">
        <f t="shared" si="31"/>
        <v>Clase A++</v>
      </c>
    </row>
    <row r="800" spans="1:22" x14ac:dyDescent="0.2">
      <c r="A800" s="13"/>
      <c r="B800" s="14" t="str">
        <f>IF(A800="","",INDEX(proveedores[Proveedor],MATCH(A800,proveedores[Código],0)))</f>
        <v/>
      </c>
      <c r="C800" s="14" t="str">
        <f>IF(A800="","",INDEX(proveedores[Material],MATCH(A800,proveedores[Código],0)))</f>
        <v/>
      </c>
      <c r="D800" s="15" t="str">
        <f>IF(A800="","",INDEX(proveedores[Perfil],MATCH(A800,proveedores[Código],0)))</f>
        <v/>
      </c>
      <c r="E800" s="15" t="str">
        <f>IF(A800="","",IFERROR(INDEX(proveedores[Nivel de criticidad],MATCH(A800,proveedores[Código],0)),""))</f>
        <v/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5">
        <f t="shared" si="30"/>
        <v>100</v>
      </c>
      <c r="V800" s="12" t="str">
        <f t="shared" si="31"/>
        <v>Clase A++</v>
      </c>
    </row>
    <row r="801" spans="1:22" x14ac:dyDescent="0.2">
      <c r="A801" s="13"/>
      <c r="B801" s="14" t="str">
        <f>IF(A801="","",INDEX(proveedores[Proveedor],MATCH(A801,proveedores[Código],0)))</f>
        <v/>
      </c>
      <c r="C801" s="14" t="str">
        <f>IF(A801="","",INDEX(proveedores[Material],MATCH(A801,proveedores[Código],0)))</f>
        <v/>
      </c>
      <c r="D801" s="15" t="str">
        <f>IF(A801="","",INDEX(proveedores[Perfil],MATCH(A801,proveedores[Código],0)))</f>
        <v/>
      </c>
      <c r="E801" s="15" t="str">
        <f>IF(A801="","",IFERROR(INDEX(proveedores[Nivel de criticidad],MATCH(A801,proveedores[Código],0)),""))</f>
        <v/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5">
        <f t="shared" si="30"/>
        <v>100</v>
      </c>
      <c r="V801" s="12" t="str">
        <f t="shared" si="31"/>
        <v>Clase A++</v>
      </c>
    </row>
    <row r="802" spans="1:22" x14ac:dyDescent="0.2">
      <c r="A802" s="13"/>
      <c r="B802" s="14" t="str">
        <f>IF(A802="","",INDEX(proveedores[Proveedor],MATCH(A802,proveedores[Código],0)))</f>
        <v/>
      </c>
      <c r="C802" s="14" t="str">
        <f>IF(A802="","",INDEX(proveedores[Material],MATCH(A802,proveedores[Código],0)))</f>
        <v/>
      </c>
      <c r="D802" s="15" t="str">
        <f>IF(A802="","",INDEX(proveedores[Perfil],MATCH(A802,proveedores[Código],0)))</f>
        <v/>
      </c>
      <c r="E802" s="15" t="str">
        <f>IF(A802="","",IFERROR(INDEX(proveedores[Nivel de criticidad],MATCH(A802,proveedores[Código],0)),""))</f>
        <v/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5">
        <f t="shared" si="30"/>
        <v>100</v>
      </c>
      <c r="V802" s="12" t="str">
        <f t="shared" si="31"/>
        <v>Clase A++</v>
      </c>
    </row>
    <row r="803" spans="1:22" x14ac:dyDescent="0.2">
      <c r="A803" s="13"/>
      <c r="B803" s="14" t="str">
        <f>IF(A803="","",INDEX(proveedores[Proveedor],MATCH(A803,proveedores[Código],0)))</f>
        <v/>
      </c>
      <c r="C803" s="14" t="str">
        <f>IF(A803="","",INDEX(proveedores[Material],MATCH(A803,proveedores[Código],0)))</f>
        <v/>
      </c>
      <c r="D803" s="15" t="str">
        <f>IF(A803="","",INDEX(proveedores[Perfil],MATCH(A803,proveedores[Código],0)))</f>
        <v/>
      </c>
      <c r="E803" s="15" t="str">
        <f>IF(A803="","",IFERROR(INDEX(proveedores[Nivel de criticidad],MATCH(A803,proveedores[Código],0)),""))</f>
        <v/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5">
        <f t="shared" si="30"/>
        <v>100</v>
      </c>
      <c r="V803" s="12" t="str">
        <f t="shared" si="31"/>
        <v>Clase A++</v>
      </c>
    </row>
    <row r="804" spans="1:22" x14ac:dyDescent="0.2">
      <c r="A804" s="13"/>
      <c r="B804" s="14" t="str">
        <f>IF(A804="","",INDEX(proveedores[Proveedor],MATCH(A804,proveedores[Código],0)))</f>
        <v/>
      </c>
      <c r="C804" s="14" t="str">
        <f>IF(A804="","",INDEX(proveedores[Material],MATCH(A804,proveedores[Código],0)))</f>
        <v/>
      </c>
      <c r="D804" s="15" t="str">
        <f>IF(A804="","",INDEX(proveedores[Perfil],MATCH(A804,proveedores[Código],0)))</f>
        <v/>
      </c>
      <c r="E804" s="15" t="str">
        <f>IF(A804="","",IFERROR(INDEX(proveedores[Nivel de criticidad],MATCH(A804,proveedores[Código],0)),""))</f>
        <v/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5">
        <f t="shared" si="30"/>
        <v>100</v>
      </c>
      <c r="V804" s="12" t="str">
        <f t="shared" si="31"/>
        <v>Clase A++</v>
      </c>
    </row>
    <row r="805" spans="1:22" x14ac:dyDescent="0.2">
      <c r="A805" s="13"/>
      <c r="B805" s="14" t="str">
        <f>IF(A805="","",INDEX(proveedores[Proveedor],MATCH(A805,proveedores[Código],0)))</f>
        <v/>
      </c>
      <c r="C805" s="14" t="str">
        <f>IF(A805="","",INDEX(proveedores[Material],MATCH(A805,proveedores[Código],0)))</f>
        <v/>
      </c>
      <c r="D805" s="15" t="str">
        <f>IF(A805="","",INDEX(proveedores[Perfil],MATCH(A805,proveedores[Código],0)))</f>
        <v/>
      </c>
      <c r="E805" s="15" t="str">
        <f>IF(A805="","",IFERROR(INDEX(proveedores[Nivel de criticidad],MATCH(A805,proveedores[Código],0)),""))</f>
        <v/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5">
        <f t="shared" si="30"/>
        <v>100</v>
      </c>
      <c r="V805" s="12" t="str">
        <f t="shared" si="31"/>
        <v>Clase A++</v>
      </c>
    </row>
    <row r="806" spans="1:22" x14ac:dyDescent="0.2">
      <c r="A806" s="13"/>
      <c r="B806" s="14" t="str">
        <f>IF(A806="","",INDEX(proveedores[Proveedor],MATCH(A806,proveedores[Código],0)))</f>
        <v/>
      </c>
      <c r="C806" s="14" t="str">
        <f>IF(A806="","",INDEX(proveedores[Material],MATCH(A806,proveedores[Código],0)))</f>
        <v/>
      </c>
      <c r="D806" s="15" t="str">
        <f>IF(A806="","",INDEX(proveedores[Perfil],MATCH(A806,proveedores[Código],0)))</f>
        <v/>
      </c>
      <c r="E806" s="15" t="str">
        <f>IF(A806="","",IFERROR(INDEX(proveedores[Nivel de criticidad],MATCH(A806,proveedores[Código],0)),""))</f>
        <v/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5">
        <f t="shared" si="30"/>
        <v>100</v>
      </c>
      <c r="V806" s="12" t="str">
        <f t="shared" si="31"/>
        <v>Clase A++</v>
      </c>
    </row>
    <row r="807" spans="1:22" x14ac:dyDescent="0.2">
      <c r="A807" s="13"/>
      <c r="B807" s="14" t="str">
        <f>IF(A807="","",INDEX(proveedores[Proveedor],MATCH(A807,proveedores[Código],0)))</f>
        <v/>
      </c>
      <c r="C807" s="14" t="str">
        <f>IF(A807="","",INDEX(proveedores[Material],MATCH(A807,proveedores[Código],0)))</f>
        <v/>
      </c>
      <c r="D807" s="15" t="str">
        <f>IF(A807="","",INDEX(proveedores[Perfil],MATCH(A807,proveedores[Código],0)))</f>
        <v/>
      </c>
      <c r="E807" s="15" t="str">
        <f>IF(A807="","",IFERROR(INDEX(proveedores[Nivel de criticidad],MATCH(A807,proveedores[Código],0)),""))</f>
        <v/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5">
        <f t="shared" si="30"/>
        <v>100</v>
      </c>
      <c r="V807" s="12" t="str">
        <f t="shared" si="31"/>
        <v>Clase A++</v>
      </c>
    </row>
    <row r="808" spans="1:22" x14ac:dyDescent="0.2">
      <c r="A808" s="13"/>
      <c r="B808" s="14" t="str">
        <f>IF(A808="","",INDEX(proveedores[Proveedor],MATCH(A808,proveedores[Código],0)))</f>
        <v/>
      </c>
      <c r="C808" s="14" t="str">
        <f>IF(A808="","",INDEX(proveedores[Material],MATCH(A808,proveedores[Código],0)))</f>
        <v/>
      </c>
      <c r="D808" s="15" t="str">
        <f>IF(A808="","",INDEX(proveedores[Perfil],MATCH(A808,proveedores[Código],0)))</f>
        <v/>
      </c>
      <c r="E808" s="15" t="str">
        <f>IF(A808="","",IFERROR(INDEX(proveedores[Nivel de criticidad],MATCH(A808,proveedores[Código],0)),""))</f>
        <v/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5">
        <f t="shared" si="30"/>
        <v>100</v>
      </c>
      <c r="V808" s="12" t="str">
        <f t="shared" si="31"/>
        <v>Clase A++</v>
      </c>
    </row>
    <row r="809" spans="1:22" x14ac:dyDescent="0.2">
      <c r="A809" s="13"/>
      <c r="B809" s="14" t="str">
        <f>IF(A809="","",INDEX(proveedores[Proveedor],MATCH(A809,proveedores[Código],0)))</f>
        <v/>
      </c>
      <c r="C809" s="14" t="str">
        <f>IF(A809="","",INDEX(proveedores[Material],MATCH(A809,proveedores[Código],0)))</f>
        <v/>
      </c>
      <c r="D809" s="15" t="str">
        <f>IF(A809="","",INDEX(proveedores[Perfil],MATCH(A809,proveedores[Código],0)))</f>
        <v/>
      </c>
      <c r="E809" s="15" t="str">
        <f>IF(A809="","",IFERROR(INDEX(proveedores[Nivel de criticidad],MATCH(A809,proveedores[Código],0)),""))</f>
        <v/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5">
        <f t="shared" si="30"/>
        <v>100</v>
      </c>
      <c r="V809" s="12" t="str">
        <f t="shared" si="31"/>
        <v>Clase A++</v>
      </c>
    </row>
    <row r="810" spans="1:22" x14ac:dyDescent="0.2">
      <c r="A810" s="13"/>
      <c r="B810" s="14" t="str">
        <f>IF(A810="","",INDEX(proveedores[Proveedor],MATCH(A810,proveedores[Código],0)))</f>
        <v/>
      </c>
      <c r="C810" s="14" t="str">
        <f>IF(A810="","",INDEX(proveedores[Material],MATCH(A810,proveedores[Código],0)))</f>
        <v/>
      </c>
      <c r="D810" s="15" t="str">
        <f>IF(A810="","",INDEX(proveedores[Perfil],MATCH(A810,proveedores[Código],0)))</f>
        <v/>
      </c>
      <c r="E810" s="15" t="str">
        <f>IF(A810="","",IFERROR(INDEX(proveedores[Nivel de criticidad],MATCH(A810,proveedores[Código],0)),""))</f>
        <v/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5">
        <f t="shared" si="30"/>
        <v>100</v>
      </c>
      <c r="V810" s="12" t="str">
        <f t="shared" si="31"/>
        <v>Clase A++</v>
      </c>
    </row>
    <row r="811" spans="1:22" x14ac:dyDescent="0.2">
      <c r="A811" s="13"/>
      <c r="B811" s="14" t="str">
        <f>IF(A811="","",INDEX(proveedores[Proveedor],MATCH(A811,proveedores[Código],0)))</f>
        <v/>
      </c>
      <c r="C811" s="14" t="str">
        <f>IF(A811="","",INDEX(proveedores[Material],MATCH(A811,proveedores[Código],0)))</f>
        <v/>
      </c>
      <c r="D811" s="15" t="str">
        <f>IF(A811="","",INDEX(proveedores[Perfil],MATCH(A811,proveedores[Código],0)))</f>
        <v/>
      </c>
      <c r="E811" s="15" t="str">
        <f>IF(A811="","",IFERROR(INDEX(proveedores[Nivel de criticidad],MATCH(A811,proveedores[Código],0)),""))</f>
        <v/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5">
        <f t="shared" si="30"/>
        <v>100</v>
      </c>
      <c r="V811" s="12" t="str">
        <f t="shared" si="31"/>
        <v>Clase A++</v>
      </c>
    </row>
    <row r="812" spans="1:22" x14ac:dyDescent="0.2">
      <c r="A812" s="13"/>
      <c r="B812" s="14" t="str">
        <f>IF(A812="","",INDEX(proveedores[Proveedor],MATCH(A812,proveedores[Código],0)))</f>
        <v/>
      </c>
      <c r="C812" s="14" t="str">
        <f>IF(A812="","",INDEX(proveedores[Material],MATCH(A812,proveedores[Código],0)))</f>
        <v/>
      </c>
      <c r="D812" s="15" t="str">
        <f>IF(A812="","",INDEX(proveedores[Perfil],MATCH(A812,proveedores[Código],0)))</f>
        <v/>
      </c>
      <c r="E812" s="15" t="str">
        <f>IF(A812="","",IFERROR(INDEX(proveedores[Nivel de criticidad],MATCH(A812,proveedores[Código],0)),""))</f>
        <v/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5">
        <f t="shared" si="30"/>
        <v>100</v>
      </c>
      <c r="V812" s="12" t="str">
        <f t="shared" si="31"/>
        <v>Clase A++</v>
      </c>
    </row>
    <row r="813" spans="1:22" x14ac:dyDescent="0.2">
      <c r="A813" s="13"/>
      <c r="B813" s="14" t="str">
        <f>IF(A813="","",INDEX(proveedores[Proveedor],MATCH(A813,proveedores[Código],0)))</f>
        <v/>
      </c>
      <c r="C813" s="14" t="str">
        <f>IF(A813="","",INDEX(proveedores[Material],MATCH(A813,proveedores[Código],0)))</f>
        <v/>
      </c>
      <c r="D813" s="15" t="str">
        <f>IF(A813="","",INDEX(proveedores[Perfil],MATCH(A813,proveedores[Código],0)))</f>
        <v/>
      </c>
      <c r="E813" s="15" t="str">
        <f>IF(A813="","",IFERROR(INDEX(proveedores[Nivel de criticidad],MATCH(A813,proveedores[Código],0)),""))</f>
        <v/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5">
        <f t="shared" si="30"/>
        <v>100</v>
      </c>
      <c r="V813" s="12" t="str">
        <f t="shared" si="31"/>
        <v>Clase A++</v>
      </c>
    </row>
    <row r="814" spans="1:22" x14ac:dyDescent="0.2">
      <c r="A814" s="13"/>
      <c r="B814" s="14" t="str">
        <f>IF(A814="","",INDEX(proveedores[Proveedor],MATCH(A814,proveedores[Código],0)))</f>
        <v/>
      </c>
      <c r="C814" s="14" t="str">
        <f>IF(A814="","",INDEX(proveedores[Material],MATCH(A814,proveedores[Código],0)))</f>
        <v/>
      </c>
      <c r="D814" s="15" t="str">
        <f>IF(A814="","",INDEX(proveedores[Perfil],MATCH(A814,proveedores[Código],0)))</f>
        <v/>
      </c>
      <c r="E814" s="15" t="str">
        <f>IF(A814="","",IFERROR(INDEX(proveedores[Nivel de criticidad],MATCH(A814,proveedores[Código],0)),""))</f>
        <v/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5">
        <f t="shared" si="30"/>
        <v>100</v>
      </c>
      <c r="V814" s="12" t="str">
        <f t="shared" si="31"/>
        <v>Clase A++</v>
      </c>
    </row>
    <row r="815" spans="1:22" x14ac:dyDescent="0.2">
      <c r="A815" s="13"/>
      <c r="B815" s="14" t="str">
        <f>IF(A815="","",INDEX(proveedores[Proveedor],MATCH(A815,proveedores[Código],0)))</f>
        <v/>
      </c>
      <c r="C815" s="14" t="str">
        <f>IF(A815="","",INDEX(proveedores[Material],MATCH(A815,proveedores[Código],0)))</f>
        <v/>
      </c>
      <c r="D815" s="15" t="str">
        <f>IF(A815="","",INDEX(proveedores[Perfil],MATCH(A815,proveedores[Código],0)))</f>
        <v/>
      </c>
      <c r="E815" s="15" t="str">
        <f>IF(A815="","",IFERROR(INDEX(proveedores[Nivel de criticidad],MATCH(A815,proveedores[Código],0)),""))</f>
        <v/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5">
        <f t="shared" si="30"/>
        <v>100</v>
      </c>
      <c r="V815" s="12" t="str">
        <f t="shared" si="31"/>
        <v>Clase A++</v>
      </c>
    </row>
    <row r="816" spans="1:22" x14ac:dyDescent="0.2">
      <c r="A816" s="13"/>
      <c r="B816" s="14" t="str">
        <f>IF(A816="","",INDEX(proveedores[Proveedor],MATCH(A816,proveedores[Código],0)))</f>
        <v/>
      </c>
      <c r="C816" s="14" t="str">
        <f>IF(A816="","",INDEX(proveedores[Material],MATCH(A816,proveedores[Código],0)))</f>
        <v/>
      </c>
      <c r="D816" s="15" t="str">
        <f>IF(A816="","",INDEX(proveedores[Perfil],MATCH(A816,proveedores[Código],0)))</f>
        <v/>
      </c>
      <c r="E816" s="15" t="str">
        <f>IF(A816="","",IFERROR(INDEX(proveedores[Nivel de criticidad],MATCH(A816,proveedores[Código],0)),""))</f>
        <v/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5">
        <f t="shared" si="30"/>
        <v>100</v>
      </c>
      <c r="V816" s="12" t="str">
        <f t="shared" si="31"/>
        <v>Clase A++</v>
      </c>
    </row>
    <row r="817" spans="1:22" x14ac:dyDescent="0.2">
      <c r="A817" s="13"/>
      <c r="B817" s="14" t="str">
        <f>IF(A817="","",INDEX(proveedores[Proveedor],MATCH(A817,proveedores[Código],0)))</f>
        <v/>
      </c>
      <c r="C817" s="14" t="str">
        <f>IF(A817="","",INDEX(proveedores[Material],MATCH(A817,proveedores[Código],0)))</f>
        <v/>
      </c>
      <c r="D817" s="15" t="str">
        <f>IF(A817="","",INDEX(proveedores[Perfil],MATCH(A817,proveedores[Código],0)))</f>
        <v/>
      </c>
      <c r="E817" s="15" t="str">
        <f>IF(A817="","",IFERROR(INDEX(proveedores[Nivel de criticidad],MATCH(A817,proveedores[Código],0)),""))</f>
        <v/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5">
        <f t="shared" si="30"/>
        <v>100</v>
      </c>
      <c r="V817" s="12" t="str">
        <f t="shared" si="31"/>
        <v>Clase A++</v>
      </c>
    </row>
    <row r="818" spans="1:22" x14ac:dyDescent="0.2">
      <c r="A818" s="13"/>
      <c r="B818" s="14" t="str">
        <f>IF(A818="","",INDEX(proveedores[Proveedor],MATCH(A818,proveedores[Código],0)))</f>
        <v/>
      </c>
      <c r="C818" s="14" t="str">
        <f>IF(A818="","",INDEX(proveedores[Material],MATCH(A818,proveedores[Código],0)))</f>
        <v/>
      </c>
      <c r="D818" s="15" t="str">
        <f>IF(A818="","",INDEX(proveedores[Perfil],MATCH(A818,proveedores[Código],0)))</f>
        <v/>
      </c>
      <c r="E818" s="15" t="str">
        <f>IF(A818="","",IFERROR(INDEX(proveedores[Nivel de criticidad],MATCH(A818,proveedores[Código],0)),""))</f>
        <v/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5">
        <f t="shared" si="30"/>
        <v>100</v>
      </c>
      <c r="V818" s="12" t="str">
        <f t="shared" si="31"/>
        <v>Clase A++</v>
      </c>
    </row>
    <row r="819" spans="1:22" x14ac:dyDescent="0.2">
      <c r="A819" s="13"/>
      <c r="B819" s="14" t="str">
        <f>IF(A819="","",INDEX(proveedores[Proveedor],MATCH(A819,proveedores[Código],0)))</f>
        <v/>
      </c>
      <c r="C819" s="14" t="str">
        <f>IF(A819="","",INDEX(proveedores[Material],MATCH(A819,proveedores[Código],0)))</f>
        <v/>
      </c>
      <c r="D819" s="15" t="str">
        <f>IF(A819="","",INDEX(proveedores[Perfil],MATCH(A819,proveedores[Código],0)))</f>
        <v/>
      </c>
      <c r="E819" s="15" t="str">
        <f>IF(A819="","",IFERROR(INDEX(proveedores[Nivel de criticidad],MATCH(A819,proveedores[Código],0)),""))</f>
        <v/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5">
        <f t="shared" si="30"/>
        <v>100</v>
      </c>
      <c r="V819" s="12" t="str">
        <f t="shared" si="31"/>
        <v>Clase A++</v>
      </c>
    </row>
    <row r="820" spans="1:22" x14ac:dyDescent="0.2">
      <c r="A820" s="13"/>
      <c r="B820" s="14" t="str">
        <f>IF(A820="","",INDEX(proveedores[Proveedor],MATCH(A820,proveedores[Código],0)))</f>
        <v/>
      </c>
      <c r="C820" s="14" t="str">
        <f>IF(A820="","",INDEX(proveedores[Material],MATCH(A820,proveedores[Código],0)))</f>
        <v/>
      </c>
      <c r="D820" s="15" t="str">
        <f>IF(A820="","",INDEX(proveedores[Perfil],MATCH(A820,proveedores[Código],0)))</f>
        <v/>
      </c>
      <c r="E820" s="15" t="str">
        <f>IF(A820="","",IFERROR(INDEX(proveedores[Nivel de criticidad],MATCH(A820,proveedores[Código],0)),""))</f>
        <v/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5">
        <f t="shared" si="30"/>
        <v>100</v>
      </c>
      <c r="V820" s="12" t="str">
        <f t="shared" si="31"/>
        <v>Clase A++</v>
      </c>
    </row>
    <row r="821" spans="1:22" x14ac:dyDescent="0.2">
      <c r="A821" s="13"/>
      <c r="B821" s="14" t="str">
        <f>IF(A821="","",INDEX(proveedores[Proveedor],MATCH(A821,proveedores[Código],0)))</f>
        <v/>
      </c>
      <c r="C821" s="14" t="str">
        <f>IF(A821="","",INDEX(proveedores[Material],MATCH(A821,proveedores[Código],0)))</f>
        <v/>
      </c>
      <c r="D821" s="15" t="str">
        <f>IF(A821="","",INDEX(proveedores[Perfil],MATCH(A821,proveedores[Código],0)))</f>
        <v/>
      </c>
      <c r="E821" s="15" t="str">
        <f>IF(A821="","",IFERROR(INDEX(proveedores[Nivel de criticidad],MATCH(A821,proveedores[Código],0)),""))</f>
        <v/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5">
        <f t="shared" si="30"/>
        <v>100</v>
      </c>
      <c r="V821" s="12" t="str">
        <f t="shared" si="31"/>
        <v>Clase A++</v>
      </c>
    </row>
    <row r="822" spans="1:22" x14ac:dyDescent="0.2">
      <c r="A822" s="13"/>
      <c r="B822" s="14" t="str">
        <f>IF(A822="","",INDEX(proveedores[Proveedor],MATCH(A822,proveedores[Código],0)))</f>
        <v/>
      </c>
      <c r="C822" s="14" t="str">
        <f>IF(A822="","",INDEX(proveedores[Material],MATCH(A822,proveedores[Código],0)))</f>
        <v/>
      </c>
      <c r="D822" s="15" t="str">
        <f>IF(A822="","",INDEX(proveedores[Perfil],MATCH(A822,proveedores[Código],0)))</f>
        <v/>
      </c>
      <c r="E822" s="15" t="str">
        <f>IF(A822="","",IFERROR(INDEX(proveedores[Nivel de criticidad],MATCH(A822,proveedores[Código],0)),""))</f>
        <v/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5">
        <f t="shared" si="30"/>
        <v>100</v>
      </c>
      <c r="V822" s="12" t="str">
        <f t="shared" si="31"/>
        <v>Clase A++</v>
      </c>
    </row>
    <row r="823" spans="1:22" x14ac:dyDescent="0.2">
      <c r="A823" s="13"/>
      <c r="B823" s="14" t="str">
        <f>IF(A823="","",INDEX(proveedores[Proveedor],MATCH(A823,proveedores[Código],0)))</f>
        <v/>
      </c>
      <c r="C823" s="14" t="str">
        <f>IF(A823="","",INDEX(proveedores[Material],MATCH(A823,proveedores[Código],0)))</f>
        <v/>
      </c>
      <c r="D823" s="15" t="str">
        <f>IF(A823="","",INDEX(proveedores[Perfil],MATCH(A823,proveedores[Código],0)))</f>
        <v/>
      </c>
      <c r="E823" s="15" t="str">
        <f>IF(A823="","",IFERROR(INDEX(proveedores[Nivel de criticidad],MATCH(A823,proveedores[Código],0)),""))</f>
        <v/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5">
        <f t="shared" si="30"/>
        <v>100</v>
      </c>
      <c r="V823" s="12" t="str">
        <f t="shared" si="31"/>
        <v>Clase A++</v>
      </c>
    </row>
    <row r="824" spans="1:22" x14ac:dyDescent="0.2">
      <c r="A824" s="13"/>
      <c r="B824" s="14" t="str">
        <f>IF(A824="","",INDEX(proveedores[Proveedor],MATCH(A824,proveedores[Código],0)))</f>
        <v/>
      </c>
      <c r="C824" s="14" t="str">
        <f>IF(A824="","",INDEX(proveedores[Material],MATCH(A824,proveedores[Código],0)))</f>
        <v/>
      </c>
      <c r="D824" s="15" t="str">
        <f>IF(A824="","",INDEX(proveedores[Perfil],MATCH(A824,proveedores[Código],0)))</f>
        <v/>
      </c>
      <c r="E824" s="15" t="str">
        <f>IF(A824="","",IFERROR(INDEX(proveedores[Nivel de criticidad],MATCH(A824,proveedores[Código],0)),""))</f>
        <v/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5">
        <f t="shared" si="30"/>
        <v>100</v>
      </c>
      <c r="V824" s="12" t="str">
        <f t="shared" si="31"/>
        <v>Clase A++</v>
      </c>
    </row>
    <row r="825" spans="1:22" x14ac:dyDescent="0.2">
      <c r="A825" s="13"/>
      <c r="B825" s="14" t="str">
        <f>IF(A825="","",INDEX(proveedores[Proveedor],MATCH(A825,proveedores[Código],0)))</f>
        <v/>
      </c>
      <c r="C825" s="14" t="str">
        <f>IF(A825="","",INDEX(proveedores[Material],MATCH(A825,proveedores[Código],0)))</f>
        <v/>
      </c>
      <c r="D825" s="15" t="str">
        <f>IF(A825="","",INDEX(proveedores[Perfil],MATCH(A825,proveedores[Código],0)))</f>
        <v/>
      </c>
      <c r="E825" s="15" t="str">
        <f>IF(A825="","",IFERROR(INDEX(proveedores[Nivel de criticidad],MATCH(A825,proveedores[Código],0)),""))</f>
        <v/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5">
        <f t="shared" si="30"/>
        <v>100</v>
      </c>
      <c r="V825" s="12" t="str">
        <f t="shared" si="31"/>
        <v>Clase A++</v>
      </c>
    </row>
    <row r="826" spans="1:22" x14ac:dyDescent="0.2">
      <c r="A826" s="13"/>
      <c r="B826" s="14" t="str">
        <f>IF(A826="","",INDEX(proveedores[Proveedor],MATCH(A826,proveedores[Código],0)))</f>
        <v/>
      </c>
      <c r="C826" s="14" t="str">
        <f>IF(A826="","",INDEX(proveedores[Material],MATCH(A826,proveedores[Código],0)))</f>
        <v/>
      </c>
      <c r="D826" s="15" t="str">
        <f>IF(A826="","",INDEX(proveedores[Perfil],MATCH(A826,proveedores[Código],0)))</f>
        <v/>
      </c>
      <c r="E826" s="15" t="str">
        <f>IF(A826="","",IFERROR(INDEX(proveedores[Nivel de criticidad],MATCH(A826,proveedores[Código],0)),""))</f>
        <v/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5">
        <f t="shared" si="30"/>
        <v>100</v>
      </c>
      <c r="V826" s="12" t="str">
        <f t="shared" si="31"/>
        <v>Clase A++</v>
      </c>
    </row>
    <row r="827" spans="1:22" x14ac:dyDescent="0.2">
      <c r="A827" s="13"/>
      <c r="B827" s="14" t="str">
        <f>IF(A827="","",INDEX(proveedores[Proveedor],MATCH(A827,proveedores[Código],0)))</f>
        <v/>
      </c>
      <c r="C827" s="14" t="str">
        <f>IF(A827="","",INDEX(proveedores[Material],MATCH(A827,proveedores[Código],0)))</f>
        <v/>
      </c>
      <c r="D827" s="15" t="str">
        <f>IF(A827="","",INDEX(proveedores[Perfil],MATCH(A827,proveedores[Código],0)))</f>
        <v/>
      </c>
      <c r="E827" s="15" t="str">
        <f>IF(A827="","",IFERROR(INDEX(proveedores[Nivel de criticidad],MATCH(A827,proveedores[Código],0)),""))</f>
        <v/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5">
        <f t="shared" si="30"/>
        <v>100</v>
      </c>
      <c r="V827" s="12" t="str">
        <f t="shared" si="31"/>
        <v>Clase A++</v>
      </c>
    </row>
    <row r="828" spans="1:22" x14ac:dyDescent="0.2">
      <c r="A828" s="13"/>
      <c r="B828" s="14" t="str">
        <f>IF(A828="","",INDEX(proveedores[Proveedor],MATCH(A828,proveedores[Código],0)))</f>
        <v/>
      </c>
      <c r="C828" s="14" t="str">
        <f>IF(A828="","",INDEX(proveedores[Material],MATCH(A828,proveedores[Código],0)))</f>
        <v/>
      </c>
      <c r="D828" s="15" t="str">
        <f>IF(A828="","",INDEX(proveedores[Perfil],MATCH(A828,proveedores[Código],0)))</f>
        <v/>
      </c>
      <c r="E828" s="15" t="str">
        <f>IF(A828="","",IFERROR(INDEX(proveedores[Nivel de criticidad],MATCH(A828,proveedores[Código],0)),""))</f>
        <v/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5">
        <f t="shared" si="30"/>
        <v>100</v>
      </c>
      <c r="V828" s="12" t="str">
        <f t="shared" si="31"/>
        <v>Clase A++</v>
      </c>
    </row>
    <row r="829" spans="1:22" x14ac:dyDescent="0.2">
      <c r="A829" s="13"/>
      <c r="B829" s="14" t="str">
        <f>IF(A829="","",INDEX(proveedores[Proveedor],MATCH(A829,proveedores[Código],0)))</f>
        <v/>
      </c>
      <c r="C829" s="14" t="str">
        <f>IF(A829="","",INDEX(proveedores[Material],MATCH(A829,proveedores[Código],0)))</f>
        <v/>
      </c>
      <c r="D829" s="15" t="str">
        <f>IF(A829="","",INDEX(proveedores[Perfil],MATCH(A829,proveedores[Código],0)))</f>
        <v/>
      </c>
      <c r="E829" s="15" t="str">
        <f>IF(A829="","",IFERROR(INDEX(proveedores[Nivel de criticidad],MATCH(A829,proveedores[Código],0)),""))</f>
        <v/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5">
        <f t="shared" si="30"/>
        <v>100</v>
      </c>
      <c r="V829" s="12" t="str">
        <f t="shared" si="31"/>
        <v>Clase A++</v>
      </c>
    </row>
    <row r="830" spans="1:22" x14ac:dyDescent="0.2">
      <c r="A830" s="13"/>
      <c r="B830" s="14" t="str">
        <f>IF(A830="","",INDEX(proveedores[Proveedor],MATCH(A830,proveedores[Código],0)))</f>
        <v/>
      </c>
      <c r="C830" s="14" t="str">
        <f>IF(A830="","",INDEX(proveedores[Material],MATCH(A830,proveedores[Código],0)))</f>
        <v/>
      </c>
      <c r="D830" s="15" t="str">
        <f>IF(A830="","",INDEX(proveedores[Perfil],MATCH(A830,proveedores[Código],0)))</f>
        <v/>
      </c>
      <c r="E830" s="15" t="str">
        <f>IF(A830="","",IFERROR(INDEX(proveedores[Nivel de criticidad],MATCH(A830,proveedores[Código],0)),""))</f>
        <v/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5">
        <f t="shared" si="30"/>
        <v>100</v>
      </c>
      <c r="V830" s="12" t="str">
        <f t="shared" si="31"/>
        <v>Clase A++</v>
      </c>
    </row>
    <row r="831" spans="1:22" x14ac:dyDescent="0.2">
      <c r="A831" s="13"/>
      <c r="B831" s="14" t="str">
        <f>IF(A831="","",INDEX(proveedores[Proveedor],MATCH(A831,proveedores[Código],0)))</f>
        <v/>
      </c>
      <c r="C831" s="14" t="str">
        <f>IF(A831="","",INDEX(proveedores[Material],MATCH(A831,proveedores[Código],0)))</f>
        <v/>
      </c>
      <c r="D831" s="15" t="str">
        <f>IF(A831="","",INDEX(proveedores[Perfil],MATCH(A831,proveedores[Código],0)))</f>
        <v/>
      </c>
      <c r="E831" s="15" t="str">
        <f>IF(A831="","",IFERROR(INDEX(proveedores[Nivel de criticidad],MATCH(A831,proveedores[Código],0)),""))</f>
        <v/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5">
        <f t="shared" si="30"/>
        <v>100</v>
      </c>
      <c r="V831" s="12" t="str">
        <f t="shared" si="31"/>
        <v>Clase A++</v>
      </c>
    </row>
    <row r="832" spans="1:22" x14ac:dyDescent="0.2">
      <c r="A832" s="13"/>
      <c r="B832" s="14" t="str">
        <f>IF(A832="","",INDEX(proveedores[Proveedor],MATCH(A832,proveedores[Código],0)))</f>
        <v/>
      </c>
      <c r="C832" s="14" t="str">
        <f>IF(A832="","",INDEX(proveedores[Material],MATCH(A832,proveedores[Código],0)))</f>
        <v/>
      </c>
      <c r="D832" s="15" t="str">
        <f>IF(A832="","",INDEX(proveedores[Perfil],MATCH(A832,proveedores[Código],0)))</f>
        <v/>
      </c>
      <c r="E832" s="15" t="str">
        <f>IF(A832="","",IFERROR(INDEX(proveedores[Nivel de criticidad],MATCH(A832,proveedores[Código],0)),""))</f>
        <v/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5">
        <f t="shared" si="30"/>
        <v>100</v>
      </c>
      <c r="V832" s="12" t="str">
        <f t="shared" si="31"/>
        <v>Clase A++</v>
      </c>
    </row>
    <row r="833" spans="1:22" x14ac:dyDescent="0.2">
      <c r="A833" s="13"/>
      <c r="B833" s="14" t="str">
        <f>IF(A833="","",INDEX(proveedores[Proveedor],MATCH(A833,proveedores[Código],0)))</f>
        <v/>
      </c>
      <c r="C833" s="14" t="str">
        <f>IF(A833="","",INDEX(proveedores[Material],MATCH(A833,proveedores[Código],0)))</f>
        <v/>
      </c>
      <c r="D833" s="15" t="str">
        <f>IF(A833="","",INDEX(proveedores[Perfil],MATCH(A833,proveedores[Código],0)))</f>
        <v/>
      </c>
      <c r="E833" s="15" t="str">
        <f>IF(A833="","",IFERROR(INDEX(proveedores[Nivel de criticidad],MATCH(A833,proveedores[Código],0)),""))</f>
        <v/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5">
        <f t="shared" si="30"/>
        <v>100</v>
      </c>
      <c r="V833" s="12" t="str">
        <f t="shared" si="31"/>
        <v>Clase A++</v>
      </c>
    </row>
    <row r="834" spans="1:22" x14ac:dyDescent="0.2">
      <c r="A834" s="13"/>
      <c r="B834" s="14" t="str">
        <f>IF(A834="","",INDEX(proveedores[Proveedor],MATCH(A834,proveedores[Código],0)))</f>
        <v/>
      </c>
      <c r="C834" s="14" t="str">
        <f>IF(A834="","",INDEX(proveedores[Material],MATCH(A834,proveedores[Código],0)))</f>
        <v/>
      </c>
      <c r="D834" s="15" t="str">
        <f>IF(A834="","",INDEX(proveedores[Perfil],MATCH(A834,proveedores[Código],0)))</f>
        <v/>
      </c>
      <c r="E834" s="15" t="str">
        <f>IF(A834="","",IFERROR(INDEX(proveedores[Nivel de criticidad],MATCH(A834,proveedores[Código],0)),""))</f>
        <v/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5">
        <f t="shared" si="30"/>
        <v>100</v>
      </c>
      <c r="V834" s="12" t="str">
        <f t="shared" si="31"/>
        <v>Clase A++</v>
      </c>
    </row>
    <row r="835" spans="1:22" x14ac:dyDescent="0.2">
      <c r="A835" s="13"/>
      <c r="B835" s="14" t="str">
        <f>IF(A835="","",INDEX(proveedores[Proveedor],MATCH(A835,proveedores[Código],0)))</f>
        <v/>
      </c>
      <c r="C835" s="14" t="str">
        <f>IF(A835="","",INDEX(proveedores[Material],MATCH(A835,proveedores[Código],0)))</f>
        <v/>
      </c>
      <c r="D835" s="15" t="str">
        <f>IF(A835="","",INDEX(proveedores[Perfil],MATCH(A835,proveedores[Código],0)))</f>
        <v/>
      </c>
      <c r="E835" s="15" t="str">
        <f>IF(A835="","",IFERROR(INDEX(proveedores[Nivel de criticidad],MATCH(A835,proveedores[Código],0)),""))</f>
        <v/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5">
        <f t="shared" si="30"/>
        <v>100</v>
      </c>
      <c r="V835" s="12" t="str">
        <f t="shared" si="31"/>
        <v>Clase A++</v>
      </c>
    </row>
    <row r="836" spans="1:22" x14ac:dyDescent="0.2">
      <c r="A836" s="13"/>
      <c r="B836" s="14" t="str">
        <f>IF(A836="","",INDEX(proveedores[Proveedor],MATCH(A836,proveedores[Código],0)))</f>
        <v/>
      </c>
      <c r="C836" s="14" t="str">
        <f>IF(A836="","",INDEX(proveedores[Material],MATCH(A836,proveedores[Código],0)))</f>
        <v/>
      </c>
      <c r="D836" s="15" t="str">
        <f>IF(A836="","",INDEX(proveedores[Perfil],MATCH(A836,proveedores[Código],0)))</f>
        <v/>
      </c>
      <c r="E836" s="15" t="str">
        <f>IF(A836="","",IFERROR(INDEX(proveedores[Nivel de criticidad],MATCH(A836,proveedores[Código],0)),""))</f>
        <v/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5">
        <f t="shared" si="30"/>
        <v>100</v>
      </c>
      <c r="V836" s="12" t="str">
        <f t="shared" si="31"/>
        <v>Clase A++</v>
      </c>
    </row>
    <row r="837" spans="1:22" x14ac:dyDescent="0.2">
      <c r="A837" s="13"/>
      <c r="B837" s="14" t="str">
        <f>IF(A837="","",INDEX(proveedores[Proveedor],MATCH(A837,proveedores[Código],0)))</f>
        <v/>
      </c>
      <c r="C837" s="14" t="str">
        <f>IF(A837="","",INDEX(proveedores[Material],MATCH(A837,proveedores[Código],0)))</f>
        <v/>
      </c>
      <c r="D837" s="15" t="str">
        <f>IF(A837="","",INDEX(proveedores[Perfil],MATCH(A837,proveedores[Código],0)))</f>
        <v/>
      </c>
      <c r="E837" s="15" t="str">
        <f>IF(A837="","",IFERROR(INDEX(proveedores[Nivel de criticidad],MATCH(A837,proveedores[Código],0)),""))</f>
        <v/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5">
        <f t="shared" si="30"/>
        <v>100</v>
      </c>
      <c r="V837" s="12" t="str">
        <f t="shared" si="31"/>
        <v>Clase A++</v>
      </c>
    </row>
    <row r="838" spans="1:22" x14ac:dyDescent="0.2">
      <c r="A838" s="13"/>
      <c r="B838" s="14" t="str">
        <f>IF(A838="","",INDEX(proveedores[Proveedor],MATCH(A838,proveedores[Código],0)))</f>
        <v/>
      </c>
      <c r="C838" s="14" t="str">
        <f>IF(A838="","",INDEX(proveedores[Material],MATCH(A838,proveedores[Código],0)))</f>
        <v/>
      </c>
      <c r="D838" s="15" t="str">
        <f>IF(A838="","",INDEX(proveedores[Perfil],MATCH(A838,proveedores[Código],0)))</f>
        <v/>
      </c>
      <c r="E838" s="15" t="str">
        <f>IF(A838="","",IFERROR(INDEX(proveedores[Nivel de criticidad],MATCH(A838,proveedores[Código],0)),""))</f>
        <v/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5">
        <f t="shared" ref="U838:U901" si="32">IF(D838="Internacional", MIN(IF(((F838*10)+(G838*3)+(H838*4)+(I838*5)+(J838*8)+(O838*5)+(P838*2)+IF(L838="N/A",0,(L838*10)+(M838*5)+(N838*3)))&gt;0,98,100), ((MAX(0, 30 - (F838*10) - (G838*3))/30)*45) + ((MAX(0, 25 - (H838*4) - (I838*5) - (J838*8) - (K838*5))/25)*35) + ((MAX(0, 15 - (O838*5) - (P838*2))/15)*20) + (IF(Q838="N/A",0,Q838)*2.5) + (IF(R838="N/A",0,R838)*2.5) + (IF(S838="N/A",0,S838)*2.5) + (IF(T838="N/A",0,T838)*2.5)), IF(D838="Local Insumos", MIN(IF(((F838*10)+(G838*3)+(H838*4)+(I838*5)+(J838*8)+(O838*5)+(P838*2)+IF(L838="N/A",0,(L838*10)+(M838*5)+(N838*3)))&gt;0,98,100), ((MAX(0, 30 - (F838*10) - (G838*3))/30)*35) + ((MAX(0, 25 - (H838*4) - (I838*5) - (J838*8) - (K838*5))/25)*30) + MAX(0, 20 - (L838*10) - (M838*5) - (N838*3)) + MAX(0, 15 - (O838*5) - (P838*2)) + (IF(Q838="N/A",0,Q838)*2.5) + (IF(R838="N/A",0,R838)*2.5) + (IF(S838="N/A",0,S838)*2.5) + (IF(T838="N/A",0,T838)*2.5)), MIN(IF(((F838*10)+(G838*3)+(H838*4)+(I838*5)+(J838*8)+(O838*5)+(P838*2)+IF(L838="N/A",0,(L838*10)+(M838*5)+(N838*3)))&gt;0,98,100), ((MAX(0, 25 - (H838*4) - (I838*5) - (J838*8) - (K838*5))/25)*55) + ((MAX(0, 20 - (L838*10) - (M838*5) - (N838*3))/20)*30) + ((MAX(0, 15 - (O838*5) - (P838*2))/15)*15))))</f>
        <v>100</v>
      </c>
      <c r="V838" s="12" t="str">
        <f t="shared" si="31"/>
        <v>Clase A++</v>
      </c>
    </row>
    <row r="839" spans="1:22" x14ac:dyDescent="0.2">
      <c r="A839" s="13"/>
      <c r="B839" s="14" t="str">
        <f>IF(A839="","",INDEX(proveedores[Proveedor],MATCH(A839,proveedores[Código],0)))</f>
        <v/>
      </c>
      <c r="C839" s="14" t="str">
        <f>IF(A839="","",INDEX(proveedores[Material],MATCH(A839,proveedores[Código],0)))</f>
        <v/>
      </c>
      <c r="D839" s="15" t="str">
        <f>IF(A839="","",INDEX(proveedores[Perfil],MATCH(A839,proveedores[Código],0)))</f>
        <v/>
      </c>
      <c r="E839" s="15" t="str">
        <f>IF(A839="","",IFERROR(INDEX(proveedores[Nivel de criticidad],MATCH(A839,proveedores[Código],0)),""))</f>
        <v/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5">
        <f t="shared" si="32"/>
        <v>100</v>
      </c>
      <c r="V839" s="12" t="str">
        <f t="shared" ref="V839:V902" si="33">IF(U839&gt;=96, "Clase A++", IF(U839&gt;=85, "Clase A", IF(U839&gt;=70, "Clase B", "Clase C")))</f>
        <v>Clase A++</v>
      </c>
    </row>
    <row r="840" spans="1:22" x14ac:dyDescent="0.2">
      <c r="A840" s="13"/>
      <c r="B840" s="14" t="str">
        <f>IF(A840="","",INDEX(proveedores[Proveedor],MATCH(A840,proveedores[Código],0)))</f>
        <v/>
      </c>
      <c r="C840" s="14" t="str">
        <f>IF(A840="","",INDEX(proveedores[Material],MATCH(A840,proveedores[Código],0)))</f>
        <v/>
      </c>
      <c r="D840" s="15" t="str">
        <f>IF(A840="","",INDEX(proveedores[Perfil],MATCH(A840,proveedores[Código],0)))</f>
        <v/>
      </c>
      <c r="E840" s="15" t="str">
        <f>IF(A840="","",IFERROR(INDEX(proveedores[Nivel de criticidad],MATCH(A840,proveedores[Código],0)),""))</f>
        <v/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5">
        <f t="shared" si="32"/>
        <v>100</v>
      </c>
      <c r="V840" s="12" t="str">
        <f t="shared" si="33"/>
        <v>Clase A++</v>
      </c>
    </row>
    <row r="841" spans="1:22" x14ac:dyDescent="0.2">
      <c r="A841" s="13"/>
      <c r="B841" s="14" t="str">
        <f>IF(A841="","",INDEX(proveedores[Proveedor],MATCH(A841,proveedores[Código],0)))</f>
        <v/>
      </c>
      <c r="C841" s="14" t="str">
        <f>IF(A841="","",INDEX(proveedores[Material],MATCH(A841,proveedores[Código],0)))</f>
        <v/>
      </c>
      <c r="D841" s="15" t="str">
        <f>IF(A841="","",INDEX(proveedores[Perfil],MATCH(A841,proveedores[Código],0)))</f>
        <v/>
      </c>
      <c r="E841" s="15" t="str">
        <f>IF(A841="","",IFERROR(INDEX(proveedores[Nivel de criticidad],MATCH(A841,proveedores[Código],0)),""))</f>
        <v/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5">
        <f t="shared" si="32"/>
        <v>100</v>
      </c>
      <c r="V841" s="12" t="str">
        <f t="shared" si="33"/>
        <v>Clase A++</v>
      </c>
    </row>
    <row r="842" spans="1:22" x14ac:dyDescent="0.2">
      <c r="A842" s="13"/>
      <c r="B842" s="14" t="str">
        <f>IF(A842="","",INDEX(proveedores[Proveedor],MATCH(A842,proveedores[Código],0)))</f>
        <v/>
      </c>
      <c r="C842" s="14" t="str">
        <f>IF(A842="","",INDEX(proveedores[Material],MATCH(A842,proveedores[Código],0)))</f>
        <v/>
      </c>
      <c r="D842" s="15" t="str">
        <f>IF(A842="","",INDEX(proveedores[Perfil],MATCH(A842,proveedores[Código],0)))</f>
        <v/>
      </c>
      <c r="E842" s="15" t="str">
        <f>IF(A842="","",IFERROR(INDEX(proveedores[Nivel de criticidad],MATCH(A842,proveedores[Código],0)),""))</f>
        <v/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5">
        <f t="shared" si="32"/>
        <v>100</v>
      </c>
      <c r="V842" s="12" t="str">
        <f t="shared" si="33"/>
        <v>Clase A++</v>
      </c>
    </row>
    <row r="843" spans="1:22" x14ac:dyDescent="0.2">
      <c r="A843" s="13"/>
      <c r="B843" s="14" t="str">
        <f>IF(A843="","",INDEX(proveedores[Proveedor],MATCH(A843,proveedores[Código],0)))</f>
        <v/>
      </c>
      <c r="C843" s="14" t="str">
        <f>IF(A843="","",INDEX(proveedores[Material],MATCH(A843,proveedores[Código],0)))</f>
        <v/>
      </c>
      <c r="D843" s="15" t="str">
        <f>IF(A843="","",INDEX(proveedores[Perfil],MATCH(A843,proveedores[Código],0)))</f>
        <v/>
      </c>
      <c r="E843" s="15" t="str">
        <f>IF(A843="","",IFERROR(INDEX(proveedores[Nivel de criticidad],MATCH(A843,proveedores[Código],0)),""))</f>
        <v/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5">
        <f t="shared" si="32"/>
        <v>100</v>
      </c>
      <c r="V843" s="12" t="str">
        <f t="shared" si="33"/>
        <v>Clase A++</v>
      </c>
    </row>
    <row r="844" spans="1:22" x14ac:dyDescent="0.2">
      <c r="A844" s="13"/>
      <c r="B844" s="14" t="str">
        <f>IF(A844="","",INDEX(proveedores[Proveedor],MATCH(A844,proveedores[Código],0)))</f>
        <v/>
      </c>
      <c r="C844" s="14" t="str">
        <f>IF(A844="","",INDEX(proveedores[Material],MATCH(A844,proveedores[Código],0)))</f>
        <v/>
      </c>
      <c r="D844" s="15" t="str">
        <f>IF(A844="","",INDEX(proveedores[Perfil],MATCH(A844,proveedores[Código],0)))</f>
        <v/>
      </c>
      <c r="E844" s="15" t="str">
        <f>IF(A844="","",IFERROR(INDEX(proveedores[Nivel de criticidad],MATCH(A844,proveedores[Código],0)),""))</f>
        <v/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5">
        <f t="shared" si="32"/>
        <v>100</v>
      </c>
      <c r="V844" s="12" t="str">
        <f t="shared" si="33"/>
        <v>Clase A++</v>
      </c>
    </row>
    <row r="845" spans="1:22" x14ac:dyDescent="0.2">
      <c r="A845" s="13"/>
      <c r="B845" s="14" t="str">
        <f>IF(A845="","",INDEX(proveedores[Proveedor],MATCH(A845,proveedores[Código],0)))</f>
        <v/>
      </c>
      <c r="C845" s="14" t="str">
        <f>IF(A845="","",INDEX(proveedores[Material],MATCH(A845,proveedores[Código],0)))</f>
        <v/>
      </c>
      <c r="D845" s="15" t="str">
        <f>IF(A845="","",INDEX(proveedores[Perfil],MATCH(A845,proveedores[Código],0)))</f>
        <v/>
      </c>
      <c r="E845" s="15" t="str">
        <f>IF(A845="","",IFERROR(INDEX(proveedores[Nivel de criticidad],MATCH(A845,proveedores[Código],0)),""))</f>
        <v/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5">
        <f t="shared" si="32"/>
        <v>100</v>
      </c>
      <c r="V845" s="12" t="str">
        <f t="shared" si="33"/>
        <v>Clase A++</v>
      </c>
    </row>
    <row r="846" spans="1:22" x14ac:dyDescent="0.2">
      <c r="A846" s="13"/>
      <c r="B846" s="14" t="str">
        <f>IF(A846="","",INDEX(proveedores[Proveedor],MATCH(A846,proveedores[Código],0)))</f>
        <v/>
      </c>
      <c r="C846" s="14" t="str">
        <f>IF(A846="","",INDEX(proveedores[Material],MATCH(A846,proveedores[Código],0)))</f>
        <v/>
      </c>
      <c r="D846" s="15" t="str">
        <f>IF(A846="","",INDEX(proveedores[Perfil],MATCH(A846,proveedores[Código],0)))</f>
        <v/>
      </c>
      <c r="E846" s="15" t="str">
        <f>IF(A846="","",IFERROR(INDEX(proveedores[Nivel de criticidad],MATCH(A846,proveedores[Código],0)),""))</f>
        <v/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5">
        <f t="shared" si="32"/>
        <v>100</v>
      </c>
      <c r="V846" s="12" t="str">
        <f t="shared" si="33"/>
        <v>Clase A++</v>
      </c>
    </row>
    <row r="847" spans="1:22" x14ac:dyDescent="0.2">
      <c r="A847" s="13"/>
      <c r="B847" s="14" t="str">
        <f>IF(A847="","",INDEX(proveedores[Proveedor],MATCH(A847,proveedores[Código],0)))</f>
        <v/>
      </c>
      <c r="C847" s="14" t="str">
        <f>IF(A847="","",INDEX(proveedores[Material],MATCH(A847,proveedores[Código],0)))</f>
        <v/>
      </c>
      <c r="D847" s="15" t="str">
        <f>IF(A847="","",INDEX(proveedores[Perfil],MATCH(A847,proveedores[Código],0)))</f>
        <v/>
      </c>
      <c r="E847" s="15" t="str">
        <f>IF(A847="","",IFERROR(INDEX(proveedores[Nivel de criticidad],MATCH(A847,proveedores[Código],0)),""))</f>
        <v/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5">
        <f t="shared" si="32"/>
        <v>100</v>
      </c>
      <c r="V847" s="12" t="str">
        <f t="shared" si="33"/>
        <v>Clase A++</v>
      </c>
    </row>
    <row r="848" spans="1:22" x14ac:dyDescent="0.2">
      <c r="A848" s="13"/>
      <c r="B848" s="14" t="str">
        <f>IF(A848="","",INDEX(proveedores[Proveedor],MATCH(A848,proveedores[Código],0)))</f>
        <v/>
      </c>
      <c r="C848" s="14" t="str">
        <f>IF(A848="","",INDEX(proveedores[Material],MATCH(A848,proveedores[Código],0)))</f>
        <v/>
      </c>
      <c r="D848" s="15" t="str">
        <f>IF(A848="","",INDEX(proveedores[Perfil],MATCH(A848,proveedores[Código],0)))</f>
        <v/>
      </c>
      <c r="E848" s="15" t="str">
        <f>IF(A848="","",IFERROR(INDEX(proveedores[Nivel de criticidad],MATCH(A848,proveedores[Código],0)),""))</f>
        <v/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5">
        <f t="shared" si="32"/>
        <v>100</v>
      </c>
      <c r="V848" s="12" t="str">
        <f t="shared" si="33"/>
        <v>Clase A++</v>
      </c>
    </row>
    <row r="849" spans="1:22" x14ac:dyDescent="0.2">
      <c r="A849" s="13"/>
      <c r="B849" s="14" t="str">
        <f>IF(A849="","",INDEX(proveedores[Proveedor],MATCH(A849,proveedores[Código],0)))</f>
        <v/>
      </c>
      <c r="C849" s="14" t="str">
        <f>IF(A849="","",INDEX(proveedores[Material],MATCH(A849,proveedores[Código],0)))</f>
        <v/>
      </c>
      <c r="D849" s="15" t="str">
        <f>IF(A849="","",INDEX(proveedores[Perfil],MATCH(A849,proveedores[Código],0)))</f>
        <v/>
      </c>
      <c r="E849" s="15" t="str">
        <f>IF(A849="","",IFERROR(INDEX(proveedores[Nivel de criticidad],MATCH(A849,proveedores[Código],0)),""))</f>
        <v/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5">
        <f t="shared" si="32"/>
        <v>100</v>
      </c>
      <c r="V849" s="12" t="str">
        <f t="shared" si="33"/>
        <v>Clase A++</v>
      </c>
    </row>
    <row r="850" spans="1:22" x14ac:dyDescent="0.2">
      <c r="A850" s="13"/>
      <c r="B850" s="14" t="str">
        <f>IF(A850="","",INDEX(proveedores[Proveedor],MATCH(A850,proveedores[Código],0)))</f>
        <v/>
      </c>
      <c r="C850" s="14" t="str">
        <f>IF(A850="","",INDEX(proveedores[Material],MATCH(A850,proveedores[Código],0)))</f>
        <v/>
      </c>
      <c r="D850" s="15" t="str">
        <f>IF(A850="","",INDEX(proveedores[Perfil],MATCH(A850,proveedores[Código],0)))</f>
        <v/>
      </c>
      <c r="E850" s="15" t="str">
        <f>IF(A850="","",IFERROR(INDEX(proveedores[Nivel de criticidad],MATCH(A850,proveedores[Código],0)),""))</f>
        <v/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5">
        <f t="shared" si="32"/>
        <v>100</v>
      </c>
      <c r="V850" s="12" t="str">
        <f t="shared" si="33"/>
        <v>Clase A++</v>
      </c>
    </row>
    <row r="851" spans="1:22" x14ac:dyDescent="0.2">
      <c r="A851" s="13"/>
      <c r="B851" s="14" t="str">
        <f>IF(A851="","",INDEX(proveedores[Proveedor],MATCH(A851,proveedores[Código],0)))</f>
        <v/>
      </c>
      <c r="C851" s="14" t="str">
        <f>IF(A851="","",INDEX(proveedores[Material],MATCH(A851,proveedores[Código],0)))</f>
        <v/>
      </c>
      <c r="D851" s="15" t="str">
        <f>IF(A851="","",INDEX(proveedores[Perfil],MATCH(A851,proveedores[Código],0)))</f>
        <v/>
      </c>
      <c r="E851" s="15" t="str">
        <f>IF(A851="","",IFERROR(INDEX(proveedores[Nivel de criticidad],MATCH(A851,proveedores[Código],0)),""))</f>
        <v/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5">
        <f t="shared" si="32"/>
        <v>100</v>
      </c>
      <c r="V851" s="12" t="str">
        <f t="shared" si="33"/>
        <v>Clase A++</v>
      </c>
    </row>
    <row r="852" spans="1:22" x14ac:dyDescent="0.2">
      <c r="A852" s="13"/>
      <c r="B852" s="14" t="str">
        <f>IF(A852="","",INDEX(proveedores[Proveedor],MATCH(A852,proveedores[Código],0)))</f>
        <v/>
      </c>
      <c r="C852" s="14" t="str">
        <f>IF(A852="","",INDEX(proveedores[Material],MATCH(A852,proveedores[Código],0)))</f>
        <v/>
      </c>
      <c r="D852" s="15" t="str">
        <f>IF(A852="","",INDEX(proveedores[Perfil],MATCH(A852,proveedores[Código],0)))</f>
        <v/>
      </c>
      <c r="E852" s="15" t="str">
        <f>IF(A852="","",IFERROR(INDEX(proveedores[Nivel de criticidad],MATCH(A852,proveedores[Código],0)),""))</f>
        <v/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5">
        <f t="shared" si="32"/>
        <v>100</v>
      </c>
      <c r="V852" s="12" t="str">
        <f t="shared" si="33"/>
        <v>Clase A++</v>
      </c>
    </row>
    <row r="853" spans="1:22" x14ac:dyDescent="0.2">
      <c r="A853" s="13"/>
      <c r="B853" s="14" t="str">
        <f>IF(A853="","",INDEX(proveedores[Proveedor],MATCH(A853,proveedores[Código],0)))</f>
        <v/>
      </c>
      <c r="C853" s="14" t="str">
        <f>IF(A853="","",INDEX(proveedores[Material],MATCH(A853,proveedores[Código],0)))</f>
        <v/>
      </c>
      <c r="D853" s="15" t="str">
        <f>IF(A853="","",INDEX(proveedores[Perfil],MATCH(A853,proveedores[Código],0)))</f>
        <v/>
      </c>
      <c r="E853" s="15" t="str">
        <f>IF(A853="","",IFERROR(INDEX(proveedores[Nivel de criticidad],MATCH(A853,proveedores[Código],0)),""))</f>
        <v/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5">
        <f t="shared" si="32"/>
        <v>100</v>
      </c>
      <c r="V853" s="12" t="str">
        <f t="shared" si="33"/>
        <v>Clase A++</v>
      </c>
    </row>
    <row r="854" spans="1:22" x14ac:dyDescent="0.2">
      <c r="A854" s="13"/>
      <c r="B854" s="14" t="str">
        <f>IF(A854="","",INDEX(proveedores[Proveedor],MATCH(A854,proveedores[Código],0)))</f>
        <v/>
      </c>
      <c r="C854" s="14" t="str">
        <f>IF(A854="","",INDEX(proveedores[Material],MATCH(A854,proveedores[Código],0)))</f>
        <v/>
      </c>
      <c r="D854" s="15" t="str">
        <f>IF(A854="","",INDEX(proveedores[Perfil],MATCH(A854,proveedores[Código],0)))</f>
        <v/>
      </c>
      <c r="E854" s="15" t="str">
        <f>IF(A854="","",IFERROR(INDEX(proveedores[Nivel de criticidad],MATCH(A854,proveedores[Código],0)),""))</f>
        <v/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5">
        <f t="shared" si="32"/>
        <v>100</v>
      </c>
      <c r="V854" s="12" t="str">
        <f t="shared" si="33"/>
        <v>Clase A++</v>
      </c>
    </row>
    <row r="855" spans="1:22" x14ac:dyDescent="0.2">
      <c r="A855" s="13"/>
      <c r="B855" s="14" t="str">
        <f>IF(A855="","",INDEX(proveedores[Proveedor],MATCH(A855,proveedores[Código],0)))</f>
        <v/>
      </c>
      <c r="C855" s="14" t="str">
        <f>IF(A855="","",INDEX(proveedores[Material],MATCH(A855,proveedores[Código],0)))</f>
        <v/>
      </c>
      <c r="D855" s="15" t="str">
        <f>IF(A855="","",INDEX(proveedores[Perfil],MATCH(A855,proveedores[Código],0)))</f>
        <v/>
      </c>
      <c r="E855" s="15" t="str">
        <f>IF(A855="","",IFERROR(INDEX(proveedores[Nivel de criticidad],MATCH(A855,proveedores[Código],0)),""))</f>
        <v/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5">
        <f t="shared" si="32"/>
        <v>100</v>
      </c>
      <c r="V855" s="12" t="str">
        <f t="shared" si="33"/>
        <v>Clase A++</v>
      </c>
    </row>
    <row r="856" spans="1:22" x14ac:dyDescent="0.2">
      <c r="A856" s="13"/>
      <c r="B856" s="14" t="str">
        <f>IF(A856="","",INDEX(proveedores[Proveedor],MATCH(A856,proveedores[Código],0)))</f>
        <v/>
      </c>
      <c r="C856" s="14" t="str">
        <f>IF(A856="","",INDEX(proveedores[Material],MATCH(A856,proveedores[Código],0)))</f>
        <v/>
      </c>
      <c r="D856" s="15" t="str">
        <f>IF(A856="","",INDEX(proveedores[Perfil],MATCH(A856,proveedores[Código],0)))</f>
        <v/>
      </c>
      <c r="E856" s="15" t="str">
        <f>IF(A856="","",IFERROR(INDEX(proveedores[Nivel de criticidad],MATCH(A856,proveedores[Código],0)),""))</f>
        <v/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5">
        <f t="shared" si="32"/>
        <v>100</v>
      </c>
      <c r="V856" s="12" t="str">
        <f t="shared" si="33"/>
        <v>Clase A++</v>
      </c>
    </row>
    <row r="857" spans="1:22" x14ac:dyDescent="0.2">
      <c r="A857" s="13"/>
      <c r="B857" s="14" t="str">
        <f>IF(A857="","",INDEX(proveedores[Proveedor],MATCH(A857,proveedores[Código],0)))</f>
        <v/>
      </c>
      <c r="C857" s="14" t="str">
        <f>IF(A857="","",INDEX(proveedores[Material],MATCH(A857,proveedores[Código],0)))</f>
        <v/>
      </c>
      <c r="D857" s="15" t="str">
        <f>IF(A857="","",INDEX(proveedores[Perfil],MATCH(A857,proveedores[Código],0)))</f>
        <v/>
      </c>
      <c r="E857" s="15" t="str">
        <f>IF(A857="","",IFERROR(INDEX(proveedores[Nivel de criticidad],MATCH(A857,proveedores[Código],0)),""))</f>
        <v/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5">
        <f t="shared" si="32"/>
        <v>100</v>
      </c>
      <c r="V857" s="12" t="str">
        <f t="shared" si="33"/>
        <v>Clase A++</v>
      </c>
    </row>
    <row r="858" spans="1:22" x14ac:dyDescent="0.2">
      <c r="A858" s="13"/>
      <c r="B858" s="14" t="str">
        <f>IF(A858="","",INDEX(proveedores[Proveedor],MATCH(A858,proveedores[Código],0)))</f>
        <v/>
      </c>
      <c r="C858" s="14" t="str">
        <f>IF(A858="","",INDEX(proveedores[Material],MATCH(A858,proveedores[Código],0)))</f>
        <v/>
      </c>
      <c r="D858" s="15" t="str">
        <f>IF(A858="","",INDEX(proveedores[Perfil],MATCH(A858,proveedores[Código],0)))</f>
        <v/>
      </c>
      <c r="E858" s="15" t="str">
        <f>IF(A858="","",IFERROR(INDEX(proveedores[Nivel de criticidad],MATCH(A858,proveedores[Código],0)),""))</f>
        <v/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5">
        <f t="shared" si="32"/>
        <v>100</v>
      </c>
      <c r="V858" s="12" t="str">
        <f t="shared" si="33"/>
        <v>Clase A++</v>
      </c>
    </row>
    <row r="859" spans="1:22" x14ac:dyDescent="0.2">
      <c r="A859" s="13"/>
      <c r="B859" s="14" t="str">
        <f>IF(A859="","",INDEX(proveedores[Proveedor],MATCH(A859,proveedores[Código],0)))</f>
        <v/>
      </c>
      <c r="C859" s="14" t="str">
        <f>IF(A859="","",INDEX(proveedores[Material],MATCH(A859,proveedores[Código],0)))</f>
        <v/>
      </c>
      <c r="D859" s="15" t="str">
        <f>IF(A859="","",INDEX(proveedores[Perfil],MATCH(A859,proveedores[Código],0)))</f>
        <v/>
      </c>
      <c r="E859" s="15" t="str">
        <f>IF(A859="","",IFERROR(INDEX(proveedores[Nivel de criticidad],MATCH(A859,proveedores[Código],0)),""))</f>
        <v/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5">
        <f t="shared" si="32"/>
        <v>100</v>
      </c>
      <c r="V859" s="12" t="str">
        <f t="shared" si="33"/>
        <v>Clase A++</v>
      </c>
    </row>
    <row r="860" spans="1:22" x14ac:dyDescent="0.2">
      <c r="A860" s="13"/>
      <c r="B860" s="14" t="str">
        <f>IF(A860="","",INDEX(proveedores[Proveedor],MATCH(A860,proveedores[Código],0)))</f>
        <v/>
      </c>
      <c r="C860" s="14" t="str">
        <f>IF(A860="","",INDEX(proveedores[Material],MATCH(A860,proveedores[Código],0)))</f>
        <v/>
      </c>
      <c r="D860" s="15" t="str">
        <f>IF(A860="","",INDEX(proveedores[Perfil],MATCH(A860,proveedores[Código],0)))</f>
        <v/>
      </c>
      <c r="E860" s="15" t="str">
        <f>IF(A860="","",IFERROR(INDEX(proveedores[Nivel de criticidad],MATCH(A860,proveedores[Código],0)),""))</f>
        <v/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5">
        <f t="shared" si="32"/>
        <v>100</v>
      </c>
      <c r="V860" s="12" t="str">
        <f t="shared" si="33"/>
        <v>Clase A++</v>
      </c>
    </row>
    <row r="861" spans="1:22" x14ac:dyDescent="0.2">
      <c r="A861" s="13"/>
      <c r="B861" s="14" t="str">
        <f>IF(A861="","",INDEX(proveedores[Proveedor],MATCH(A861,proveedores[Código],0)))</f>
        <v/>
      </c>
      <c r="C861" s="14" t="str">
        <f>IF(A861="","",INDEX(proveedores[Material],MATCH(A861,proveedores[Código],0)))</f>
        <v/>
      </c>
      <c r="D861" s="15" t="str">
        <f>IF(A861="","",INDEX(proveedores[Perfil],MATCH(A861,proveedores[Código],0)))</f>
        <v/>
      </c>
      <c r="E861" s="15" t="str">
        <f>IF(A861="","",IFERROR(INDEX(proveedores[Nivel de criticidad],MATCH(A861,proveedores[Código],0)),""))</f>
        <v/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5">
        <f t="shared" si="32"/>
        <v>100</v>
      </c>
      <c r="V861" s="12" t="str">
        <f t="shared" si="33"/>
        <v>Clase A++</v>
      </c>
    </row>
    <row r="862" spans="1:22" x14ac:dyDescent="0.2">
      <c r="A862" s="13"/>
      <c r="B862" s="14" t="str">
        <f>IF(A862="","",INDEX(proveedores[Proveedor],MATCH(A862,proveedores[Código],0)))</f>
        <v/>
      </c>
      <c r="C862" s="14" t="str">
        <f>IF(A862="","",INDEX(proveedores[Material],MATCH(A862,proveedores[Código],0)))</f>
        <v/>
      </c>
      <c r="D862" s="15" t="str">
        <f>IF(A862="","",INDEX(proveedores[Perfil],MATCH(A862,proveedores[Código],0)))</f>
        <v/>
      </c>
      <c r="E862" s="15" t="str">
        <f>IF(A862="","",IFERROR(INDEX(proveedores[Nivel de criticidad],MATCH(A862,proveedores[Código],0)),""))</f>
        <v/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5">
        <f t="shared" si="32"/>
        <v>100</v>
      </c>
      <c r="V862" s="12" t="str">
        <f t="shared" si="33"/>
        <v>Clase A++</v>
      </c>
    </row>
    <row r="863" spans="1:22" x14ac:dyDescent="0.2">
      <c r="A863" s="13"/>
      <c r="B863" s="14" t="str">
        <f>IF(A863="","",INDEX(proveedores[Proveedor],MATCH(A863,proveedores[Código],0)))</f>
        <v/>
      </c>
      <c r="C863" s="14" t="str">
        <f>IF(A863="","",INDEX(proveedores[Material],MATCH(A863,proveedores[Código],0)))</f>
        <v/>
      </c>
      <c r="D863" s="15" t="str">
        <f>IF(A863="","",INDEX(proveedores[Perfil],MATCH(A863,proveedores[Código],0)))</f>
        <v/>
      </c>
      <c r="E863" s="15" t="str">
        <f>IF(A863="","",IFERROR(INDEX(proveedores[Nivel de criticidad],MATCH(A863,proveedores[Código],0)),""))</f>
        <v/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5">
        <f t="shared" si="32"/>
        <v>100</v>
      </c>
      <c r="V863" s="12" t="str">
        <f t="shared" si="33"/>
        <v>Clase A++</v>
      </c>
    </row>
    <row r="864" spans="1:22" x14ac:dyDescent="0.2">
      <c r="A864" s="13"/>
      <c r="B864" s="14" t="str">
        <f>IF(A864="","",INDEX(proveedores[Proveedor],MATCH(A864,proveedores[Código],0)))</f>
        <v/>
      </c>
      <c r="C864" s="14" t="str">
        <f>IF(A864="","",INDEX(proveedores[Material],MATCH(A864,proveedores[Código],0)))</f>
        <v/>
      </c>
      <c r="D864" s="15" t="str">
        <f>IF(A864="","",INDEX(proveedores[Perfil],MATCH(A864,proveedores[Código],0)))</f>
        <v/>
      </c>
      <c r="E864" s="15" t="str">
        <f>IF(A864="","",IFERROR(INDEX(proveedores[Nivel de criticidad],MATCH(A864,proveedores[Código],0)),""))</f>
        <v/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5">
        <f t="shared" si="32"/>
        <v>100</v>
      </c>
      <c r="V864" s="12" t="str">
        <f t="shared" si="33"/>
        <v>Clase A++</v>
      </c>
    </row>
    <row r="865" spans="1:22" x14ac:dyDescent="0.2">
      <c r="A865" s="13"/>
      <c r="B865" s="14" t="str">
        <f>IF(A865="","",INDEX(proveedores[Proveedor],MATCH(A865,proveedores[Código],0)))</f>
        <v/>
      </c>
      <c r="C865" s="14" t="str">
        <f>IF(A865="","",INDEX(proveedores[Material],MATCH(A865,proveedores[Código],0)))</f>
        <v/>
      </c>
      <c r="D865" s="15" t="str">
        <f>IF(A865="","",INDEX(proveedores[Perfil],MATCH(A865,proveedores[Código],0)))</f>
        <v/>
      </c>
      <c r="E865" s="15" t="str">
        <f>IF(A865="","",IFERROR(INDEX(proveedores[Nivel de criticidad],MATCH(A865,proveedores[Código],0)),""))</f>
        <v/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5">
        <f t="shared" si="32"/>
        <v>100</v>
      </c>
      <c r="V865" s="12" t="str">
        <f t="shared" si="33"/>
        <v>Clase A++</v>
      </c>
    </row>
    <row r="866" spans="1:22" x14ac:dyDescent="0.2">
      <c r="A866" s="13"/>
      <c r="B866" s="14" t="str">
        <f>IF(A866="","",INDEX(proveedores[Proveedor],MATCH(A866,proveedores[Código],0)))</f>
        <v/>
      </c>
      <c r="C866" s="14" t="str">
        <f>IF(A866="","",INDEX(proveedores[Material],MATCH(A866,proveedores[Código],0)))</f>
        <v/>
      </c>
      <c r="D866" s="15" t="str">
        <f>IF(A866="","",INDEX(proveedores[Perfil],MATCH(A866,proveedores[Código],0)))</f>
        <v/>
      </c>
      <c r="E866" s="15" t="str">
        <f>IF(A866="","",IFERROR(INDEX(proveedores[Nivel de criticidad],MATCH(A866,proveedores[Código],0)),""))</f>
        <v/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5">
        <f t="shared" si="32"/>
        <v>100</v>
      </c>
      <c r="V866" s="12" t="str">
        <f t="shared" si="33"/>
        <v>Clase A++</v>
      </c>
    </row>
    <row r="867" spans="1:22" x14ac:dyDescent="0.2">
      <c r="A867" s="13"/>
      <c r="B867" s="14" t="str">
        <f>IF(A867="","",INDEX(proveedores[Proveedor],MATCH(A867,proveedores[Código],0)))</f>
        <v/>
      </c>
      <c r="C867" s="14" t="str">
        <f>IF(A867="","",INDEX(proveedores[Material],MATCH(A867,proveedores[Código],0)))</f>
        <v/>
      </c>
      <c r="D867" s="15" t="str">
        <f>IF(A867="","",INDEX(proveedores[Perfil],MATCH(A867,proveedores[Código],0)))</f>
        <v/>
      </c>
      <c r="E867" s="15" t="str">
        <f>IF(A867="","",IFERROR(INDEX(proveedores[Nivel de criticidad],MATCH(A867,proveedores[Código],0)),""))</f>
        <v/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5">
        <f t="shared" si="32"/>
        <v>100</v>
      </c>
      <c r="V867" s="12" t="str">
        <f t="shared" si="33"/>
        <v>Clase A++</v>
      </c>
    </row>
    <row r="868" spans="1:22" x14ac:dyDescent="0.2">
      <c r="A868" s="13"/>
      <c r="B868" s="14" t="str">
        <f>IF(A868="","",INDEX(proveedores[Proveedor],MATCH(A868,proveedores[Código],0)))</f>
        <v/>
      </c>
      <c r="C868" s="14" t="str">
        <f>IF(A868="","",INDEX(proveedores[Material],MATCH(A868,proveedores[Código],0)))</f>
        <v/>
      </c>
      <c r="D868" s="15" t="str">
        <f>IF(A868="","",INDEX(proveedores[Perfil],MATCH(A868,proveedores[Código],0)))</f>
        <v/>
      </c>
      <c r="E868" s="15" t="str">
        <f>IF(A868="","",IFERROR(INDEX(proveedores[Nivel de criticidad],MATCH(A868,proveedores[Código],0)),""))</f>
        <v/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5">
        <f t="shared" si="32"/>
        <v>100</v>
      </c>
      <c r="V868" s="12" t="str">
        <f t="shared" si="33"/>
        <v>Clase A++</v>
      </c>
    </row>
    <row r="869" spans="1:22" x14ac:dyDescent="0.2">
      <c r="A869" s="13"/>
      <c r="B869" s="14" t="str">
        <f>IF(A869="","",INDEX(proveedores[Proveedor],MATCH(A869,proveedores[Código],0)))</f>
        <v/>
      </c>
      <c r="C869" s="14" t="str">
        <f>IF(A869="","",INDEX(proveedores[Material],MATCH(A869,proveedores[Código],0)))</f>
        <v/>
      </c>
      <c r="D869" s="15" t="str">
        <f>IF(A869="","",INDEX(proveedores[Perfil],MATCH(A869,proveedores[Código],0)))</f>
        <v/>
      </c>
      <c r="E869" s="15" t="str">
        <f>IF(A869="","",IFERROR(INDEX(proveedores[Nivel de criticidad],MATCH(A869,proveedores[Código],0)),""))</f>
        <v/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5">
        <f t="shared" si="32"/>
        <v>100</v>
      </c>
      <c r="V869" s="12" t="str">
        <f t="shared" si="33"/>
        <v>Clase A++</v>
      </c>
    </row>
    <row r="870" spans="1:22" x14ac:dyDescent="0.2">
      <c r="A870" s="13"/>
      <c r="B870" s="14" t="str">
        <f>IF(A870="","",INDEX(proveedores[Proveedor],MATCH(A870,proveedores[Código],0)))</f>
        <v/>
      </c>
      <c r="C870" s="14" t="str">
        <f>IF(A870="","",INDEX(proveedores[Material],MATCH(A870,proveedores[Código],0)))</f>
        <v/>
      </c>
      <c r="D870" s="15" t="str">
        <f>IF(A870="","",INDEX(proveedores[Perfil],MATCH(A870,proveedores[Código],0)))</f>
        <v/>
      </c>
      <c r="E870" s="15" t="str">
        <f>IF(A870="","",IFERROR(INDEX(proveedores[Nivel de criticidad],MATCH(A870,proveedores[Código],0)),""))</f>
        <v/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5">
        <f t="shared" si="32"/>
        <v>100</v>
      </c>
      <c r="V870" s="12" t="str">
        <f t="shared" si="33"/>
        <v>Clase A++</v>
      </c>
    </row>
    <row r="871" spans="1:22" x14ac:dyDescent="0.2">
      <c r="A871" s="13"/>
      <c r="B871" s="14" t="str">
        <f>IF(A871="","",INDEX(proveedores[Proveedor],MATCH(A871,proveedores[Código],0)))</f>
        <v/>
      </c>
      <c r="C871" s="14" t="str">
        <f>IF(A871="","",INDEX(proveedores[Material],MATCH(A871,proveedores[Código],0)))</f>
        <v/>
      </c>
      <c r="D871" s="15" t="str">
        <f>IF(A871="","",INDEX(proveedores[Perfil],MATCH(A871,proveedores[Código],0)))</f>
        <v/>
      </c>
      <c r="E871" s="15" t="str">
        <f>IF(A871="","",IFERROR(INDEX(proveedores[Nivel de criticidad],MATCH(A871,proveedores[Código],0)),""))</f>
        <v/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5">
        <f t="shared" si="32"/>
        <v>100</v>
      </c>
      <c r="V871" s="12" t="str">
        <f t="shared" si="33"/>
        <v>Clase A++</v>
      </c>
    </row>
    <row r="872" spans="1:22" x14ac:dyDescent="0.2">
      <c r="A872" s="13"/>
      <c r="B872" s="14" t="str">
        <f>IF(A872="","",INDEX(proveedores[Proveedor],MATCH(A872,proveedores[Código],0)))</f>
        <v/>
      </c>
      <c r="C872" s="14" t="str">
        <f>IF(A872="","",INDEX(proveedores[Material],MATCH(A872,proveedores[Código],0)))</f>
        <v/>
      </c>
      <c r="D872" s="15" t="str">
        <f>IF(A872="","",INDEX(proveedores[Perfil],MATCH(A872,proveedores[Código],0)))</f>
        <v/>
      </c>
      <c r="E872" s="15" t="str">
        <f>IF(A872="","",IFERROR(INDEX(proveedores[Nivel de criticidad],MATCH(A872,proveedores[Código],0)),""))</f>
        <v/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5">
        <f t="shared" si="32"/>
        <v>100</v>
      </c>
      <c r="V872" s="12" t="str">
        <f t="shared" si="33"/>
        <v>Clase A++</v>
      </c>
    </row>
    <row r="873" spans="1:22" x14ac:dyDescent="0.2">
      <c r="A873" s="13"/>
      <c r="B873" s="14" t="str">
        <f>IF(A873="","",INDEX(proveedores[Proveedor],MATCH(A873,proveedores[Código],0)))</f>
        <v/>
      </c>
      <c r="C873" s="14" t="str">
        <f>IF(A873="","",INDEX(proveedores[Material],MATCH(A873,proveedores[Código],0)))</f>
        <v/>
      </c>
      <c r="D873" s="15" t="str">
        <f>IF(A873="","",INDEX(proveedores[Perfil],MATCH(A873,proveedores[Código],0)))</f>
        <v/>
      </c>
      <c r="E873" s="15" t="str">
        <f>IF(A873="","",IFERROR(INDEX(proveedores[Nivel de criticidad],MATCH(A873,proveedores[Código],0)),""))</f>
        <v/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5">
        <f t="shared" si="32"/>
        <v>100</v>
      </c>
      <c r="V873" s="12" t="str">
        <f t="shared" si="33"/>
        <v>Clase A++</v>
      </c>
    </row>
    <row r="874" spans="1:22" x14ac:dyDescent="0.2">
      <c r="A874" s="13"/>
      <c r="B874" s="14" t="str">
        <f>IF(A874="","",INDEX(proveedores[Proveedor],MATCH(A874,proveedores[Código],0)))</f>
        <v/>
      </c>
      <c r="C874" s="14" t="str">
        <f>IF(A874="","",INDEX(proveedores[Material],MATCH(A874,proveedores[Código],0)))</f>
        <v/>
      </c>
      <c r="D874" s="15" t="str">
        <f>IF(A874="","",INDEX(proveedores[Perfil],MATCH(A874,proveedores[Código],0)))</f>
        <v/>
      </c>
      <c r="E874" s="15" t="str">
        <f>IF(A874="","",IFERROR(INDEX(proveedores[Nivel de criticidad],MATCH(A874,proveedores[Código],0)),""))</f>
        <v/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5">
        <f t="shared" si="32"/>
        <v>100</v>
      </c>
      <c r="V874" s="12" t="str">
        <f t="shared" si="33"/>
        <v>Clase A++</v>
      </c>
    </row>
    <row r="875" spans="1:22" x14ac:dyDescent="0.2">
      <c r="A875" s="13"/>
      <c r="B875" s="14" t="str">
        <f>IF(A875="","",INDEX(proveedores[Proveedor],MATCH(A875,proveedores[Código],0)))</f>
        <v/>
      </c>
      <c r="C875" s="14" t="str">
        <f>IF(A875="","",INDEX(proveedores[Material],MATCH(A875,proveedores[Código],0)))</f>
        <v/>
      </c>
      <c r="D875" s="15" t="str">
        <f>IF(A875="","",INDEX(proveedores[Perfil],MATCH(A875,proveedores[Código],0)))</f>
        <v/>
      </c>
      <c r="E875" s="15" t="str">
        <f>IF(A875="","",IFERROR(INDEX(proveedores[Nivel de criticidad],MATCH(A875,proveedores[Código],0)),""))</f>
        <v/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5">
        <f t="shared" si="32"/>
        <v>100</v>
      </c>
      <c r="V875" s="12" t="str">
        <f t="shared" si="33"/>
        <v>Clase A++</v>
      </c>
    </row>
    <row r="876" spans="1:22" x14ac:dyDescent="0.2">
      <c r="A876" s="13"/>
      <c r="B876" s="14" t="str">
        <f>IF(A876="","",INDEX(proveedores[Proveedor],MATCH(A876,proveedores[Código],0)))</f>
        <v/>
      </c>
      <c r="C876" s="14" t="str">
        <f>IF(A876="","",INDEX(proveedores[Material],MATCH(A876,proveedores[Código],0)))</f>
        <v/>
      </c>
      <c r="D876" s="15" t="str">
        <f>IF(A876="","",INDEX(proveedores[Perfil],MATCH(A876,proveedores[Código],0)))</f>
        <v/>
      </c>
      <c r="E876" s="15" t="str">
        <f>IF(A876="","",IFERROR(INDEX(proveedores[Nivel de criticidad],MATCH(A876,proveedores[Código],0)),""))</f>
        <v/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5">
        <f t="shared" si="32"/>
        <v>100</v>
      </c>
      <c r="V876" s="12" t="str">
        <f t="shared" si="33"/>
        <v>Clase A++</v>
      </c>
    </row>
    <row r="877" spans="1:22" x14ac:dyDescent="0.2">
      <c r="A877" s="13"/>
      <c r="B877" s="14" t="str">
        <f>IF(A877="","",INDEX(proveedores[Proveedor],MATCH(A877,proveedores[Código],0)))</f>
        <v/>
      </c>
      <c r="C877" s="14" t="str">
        <f>IF(A877="","",INDEX(proveedores[Material],MATCH(A877,proveedores[Código],0)))</f>
        <v/>
      </c>
      <c r="D877" s="15" t="str">
        <f>IF(A877="","",INDEX(proveedores[Perfil],MATCH(A877,proveedores[Código],0)))</f>
        <v/>
      </c>
      <c r="E877" s="15" t="str">
        <f>IF(A877="","",IFERROR(INDEX(proveedores[Nivel de criticidad],MATCH(A877,proveedores[Código],0)),""))</f>
        <v/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5">
        <f t="shared" si="32"/>
        <v>100</v>
      </c>
      <c r="V877" s="12" t="str">
        <f t="shared" si="33"/>
        <v>Clase A++</v>
      </c>
    </row>
    <row r="878" spans="1:22" x14ac:dyDescent="0.2">
      <c r="A878" s="13"/>
      <c r="B878" s="14" t="str">
        <f>IF(A878="","",INDEX(proveedores[Proveedor],MATCH(A878,proveedores[Código],0)))</f>
        <v/>
      </c>
      <c r="C878" s="14" t="str">
        <f>IF(A878="","",INDEX(proveedores[Material],MATCH(A878,proveedores[Código],0)))</f>
        <v/>
      </c>
      <c r="D878" s="15" t="str">
        <f>IF(A878="","",INDEX(proveedores[Perfil],MATCH(A878,proveedores[Código],0)))</f>
        <v/>
      </c>
      <c r="E878" s="15" t="str">
        <f>IF(A878="","",IFERROR(INDEX(proveedores[Nivel de criticidad],MATCH(A878,proveedores[Código],0)),""))</f>
        <v/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5">
        <f t="shared" si="32"/>
        <v>100</v>
      </c>
      <c r="V878" s="12" t="str">
        <f t="shared" si="33"/>
        <v>Clase A++</v>
      </c>
    </row>
    <row r="879" spans="1:22" x14ac:dyDescent="0.2">
      <c r="A879" s="13"/>
      <c r="B879" s="14" t="str">
        <f>IF(A879="","",INDEX(proveedores[Proveedor],MATCH(A879,proveedores[Código],0)))</f>
        <v/>
      </c>
      <c r="C879" s="14" t="str">
        <f>IF(A879="","",INDEX(proveedores[Material],MATCH(A879,proveedores[Código],0)))</f>
        <v/>
      </c>
      <c r="D879" s="15" t="str">
        <f>IF(A879="","",INDEX(proveedores[Perfil],MATCH(A879,proveedores[Código],0)))</f>
        <v/>
      </c>
      <c r="E879" s="15" t="str">
        <f>IF(A879="","",IFERROR(INDEX(proveedores[Nivel de criticidad],MATCH(A879,proveedores[Código],0)),""))</f>
        <v/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5">
        <f t="shared" si="32"/>
        <v>100</v>
      </c>
      <c r="V879" s="12" t="str">
        <f t="shared" si="33"/>
        <v>Clase A++</v>
      </c>
    </row>
    <row r="880" spans="1:22" x14ac:dyDescent="0.2">
      <c r="A880" s="13"/>
      <c r="B880" s="14" t="str">
        <f>IF(A880="","",INDEX(proveedores[Proveedor],MATCH(A880,proveedores[Código],0)))</f>
        <v/>
      </c>
      <c r="C880" s="14" t="str">
        <f>IF(A880="","",INDEX(proveedores[Material],MATCH(A880,proveedores[Código],0)))</f>
        <v/>
      </c>
      <c r="D880" s="15" t="str">
        <f>IF(A880="","",INDEX(proveedores[Perfil],MATCH(A880,proveedores[Código],0)))</f>
        <v/>
      </c>
      <c r="E880" s="15" t="str">
        <f>IF(A880="","",IFERROR(INDEX(proveedores[Nivel de criticidad],MATCH(A880,proveedores[Código],0)),""))</f>
        <v/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5">
        <f t="shared" si="32"/>
        <v>100</v>
      </c>
      <c r="V880" s="12" t="str">
        <f t="shared" si="33"/>
        <v>Clase A++</v>
      </c>
    </row>
    <row r="881" spans="1:22" x14ac:dyDescent="0.2">
      <c r="A881" s="13"/>
      <c r="B881" s="14" t="str">
        <f>IF(A881="","",INDEX(proveedores[Proveedor],MATCH(A881,proveedores[Código],0)))</f>
        <v/>
      </c>
      <c r="C881" s="14" t="str">
        <f>IF(A881="","",INDEX(proveedores[Material],MATCH(A881,proveedores[Código],0)))</f>
        <v/>
      </c>
      <c r="D881" s="15" t="str">
        <f>IF(A881="","",INDEX(proveedores[Perfil],MATCH(A881,proveedores[Código],0)))</f>
        <v/>
      </c>
      <c r="E881" s="15" t="str">
        <f>IF(A881="","",IFERROR(INDEX(proveedores[Nivel de criticidad],MATCH(A881,proveedores[Código],0)),""))</f>
        <v/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5">
        <f t="shared" si="32"/>
        <v>100</v>
      </c>
      <c r="V881" s="12" t="str">
        <f t="shared" si="33"/>
        <v>Clase A++</v>
      </c>
    </row>
    <row r="882" spans="1:22" x14ac:dyDescent="0.2">
      <c r="A882" s="13"/>
      <c r="B882" s="14" t="str">
        <f>IF(A882="","",INDEX(proveedores[Proveedor],MATCH(A882,proveedores[Código],0)))</f>
        <v/>
      </c>
      <c r="C882" s="14" t="str">
        <f>IF(A882="","",INDEX(proveedores[Material],MATCH(A882,proveedores[Código],0)))</f>
        <v/>
      </c>
      <c r="D882" s="15" t="str">
        <f>IF(A882="","",INDEX(proveedores[Perfil],MATCH(A882,proveedores[Código],0)))</f>
        <v/>
      </c>
      <c r="E882" s="15" t="str">
        <f>IF(A882="","",IFERROR(INDEX(proveedores[Nivel de criticidad],MATCH(A882,proveedores[Código],0)),""))</f>
        <v/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5">
        <f t="shared" si="32"/>
        <v>100</v>
      </c>
      <c r="V882" s="12" t="str">
        <f t="shared" si="33"/>
        <v>Clase A++</v>
      </c>
    </row>
    <row r="883" spans="1:22" x14ac:dyDescent="0.2">
      <c r="A883" s="13"/>
      <c r="B883" s="14" t="str">
        <f>IF(A883="","",INDEX(proveedores[Proveedor],MATCH(A883,proveedores[Código],0)))</f>
        <v/>
      </c>
      <c r="C883" s="14" t="str">
        <f>IF(A883="","",INDEX(proveedores[Material],MATCH(A883,proveedores[Código],0)))</f>
        <v/>
      </c>
      <c r="D883" s="15" t="str">
        <f>IF(A883="","",INDEX(proveedores[Perfil],MATCH(A883,proveedores[Código],0)))</f>
        <v/>
      </c>
      <c r="E883" s="15" t="str">
        <f>IF(A883="","",IFERROR(INDEX(proveedores[Nivel de criticidad],MATCH(A883,proveedores[Código],0)),""))</f>
        <v/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5">
        <f t="shared" si="32"/>
        <v>100</v>
      </c>
      <c r="V883" s="12" t="str">
        <f t="shared" si="33"/>
        <v>Clase A++</v>
      </c>
    </row>
    <row r="884" spans="1:22" x14ac:dyDescent="0.2">
      <c r="A884" s="13"/>
      <c r="B884" s="14" t="str">
        <f>IF(A884="","",INDEX(proveedores[Proveedor],MATCH(A884,proveedores[Código],0)))</f>
        <v/>
      </c>
      <c r="C884" s="14" t="str">
        <f>IF(A884="","",INDEX(proveedores[Material],MATCH(A884,proveedores[Código],0)))</f>
        <v/>
      </c>
      <c r="D884" s="15" t="str">
        <f>IF(A884="","",INDEX(proveedores[Perfil],MATCH(A884,proveedores[Código],0)))</f>
        <v/>
      </c>
      <c r="E884" s="15" t="str">
        <f>IF(A884="","",IFERROR(INDEX(proveedores[Nivel de criticidad],MATCH(A884,proveedores[Código],0)),""))</f>
        <v/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5">
        <f t="shared" si="32"/>
        <v>100</v>
      </c>
      <c r="V884" s="12" t="str">
        <f t="shared" si="33"/>
        <v>Clase A++</v>
      </c>
    </row>
    <row r="885" spans="1:22" x14ac:dyDescent="0.2">
      <c r="A885" s="13"/>
      <c r="B885" s="14" t="str">
        <f>IF(A885="","",INDEX(proveedores[Proveedor],MATCH(A885,proveedores[Código],0)))</f>
        <v/>
      </c>
      <c r="C885" s="14" t="str">
        <f>IF(A885="","",INDEX(proveedores[Material],MATCH(A885,proveedores[Código],0)))</f>
        <v/>
      </c>
      <c r="D885" s="15" t="str">
        <f>IF(A885="","",INDEX(proveedores[Perfil],MATCH(A885,proveedores[Código],0)))</f>
        <v/>
      </c>
      <c r="E885" s="15" t="str">
        <f>IF(A885="","",IFERROR(INDEX(proveedores[Nivel de criticidad],MATCH(A885,proveedores[Código],0)),""))</f>
        <v/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5">
        <f t="shared" si="32"/>
        <v>100</v>
      </c>
      <c r="V885" s="12" t="str">
        <f t="shared" si="33"/>
        <v>Clase A++</v>
      </c>
    </row>
    <row r="886" spans="1:22" x14ac:dyDescent="0.2">
      <c r="A886" s="13"/>
      <c r="B886" s="14" t="str">
        <f>IF(A886="","",INDEX(proveedores[Proveedor],MATCH(A886,proveedores[Código],0)))</f>
        <v/>
      </c>
      <c r="C886" s="14" t="str">
        <f>IF(A886="","",INDEX(proveedores[Material],MATCH(A886,proveedores[Código],0)))</f>
        <v/>
      </c>
      <c r="D886" s="15" t="str">
        <f>IF(A886="","",INDEX(proveedores[Perfil],MATCH(A886,proveedores[Código],0)))</f>
        <v/>
      </c>
      <c r="E886" s="15" t="str">
        <f>IF(A886="","",IFERROR(INDEX(proveedores[Nivel de criticidad],MATCH(A886,proveedores[Código],0)),""))</f>
        <v/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5">
        <f t="shared" si="32"/>
        <v>100</v>
      </c>
      <c r="V886" s="12" t="str">
        <f t="shared" si="33"/>
        <v>Clase A++</v>
      </c>
    </row>
    <row r="887" spans="1:22" x14ac:dyDescent="0.2">
      <c r="A887" s="13"/>
      <c r="B887" s="14" t="str">
        <f>IF(A887="","",INDEX(proveedores[Proveedor],MATCH(A887,proveedores[Código],0)))</f>
        <v/>
      </c>
      <c r="C887" s="14" t="str">
        <f>IF(A887="","",INDEX(proveedores[Material],MATCH(A887,proveedores[Código],0)))</f>
        <v/>
      </c>
      <c r="D887" s="15" t="str">
        <f>IF(A887="","",INDEX(proveedores[Perfil],MATCH(A887,proveedores[Código],0)))</f>
        <v/>
      </c>
      <c r="E887" s="15" t="str">
        <f>IF(A887="","",IFERROR(INDEX(proveedores[Nivel de criticidad],MATCH(A887,proveedores[Código],0)),""))</f>
        <v/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5">
        <f t="shared" si="32"/>
        <v>100</v>
      </c>
      <c r="V887" s="12" t="str">
        <f t="shared" si="33"/>
        <v>Clase A++</v>
      </c>
    </row>
    <row r="888" spans="1:22" x14ac:dyDescent="0.2">
      <c r="A888" s="13"/>
      <c r="B888" s="14" t="str">
        <f>IF(A888="","",INDEX(proveedores[Proveedor],MATCH(A888,proveedores[Código],0)))</f>
        <v/>
      </c>
      <c r="C888" s="14" t="str">
        <f>IF(A888="","",INDEX(proveedores[Material],MATCH(A888,proveedores[Código],0)))</f>
        <v/>
      </c>
      <c r="D888" s="15" t="str">
        <f>IF(A888="","",INDEX(proveedores[Perfil],MATCH(A888,proveedores[Código],0)))</f>
        <v/>
      </c>
      <c r="E888" s="15" t="str">
        <f>IF(A888="","",IFERROR(INDEX(proveedores[Nivel de criticidad],MATCH(A888,proveedores[Código],0)),""))</f>
        <v/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5">
        <f t="shared" si="32"/>
        <v>100</v>
      </c>
      <c r="V888" s="12" t="str">
        <f t="shared" si="33"/>
        <v>Clase A++</v>
      </c>
    </row>
    <row r="889" spans="1:22" x14ac:dyDescent="0.2">
      <c r="A889" s="13"/>
      <c r="B889" s="14" t="str">
        <f>IF(A889="","",INDEX(proveedores[Proveedor],MATCH(A889,proveedores[Código],0)))</f>
        <v/>
      </c>
      <c r="C889" s="14" t="str">
        <f>IF(A889="","",INDEX(proveedores[Material],MATCH(A889,proveedores[Código],0)))</f>
        <v/>
      </c>
      <c r="D889" s="15" t="str">
        <f>IF(A889="","",INDEX(proveedores[Perfil],MATCH(A889,proveedores[Código],0)))</f>
        <v/>
      </c>
      <c r="E889" s="15" t="str">
        <f>IF(A889="","",IFERROR(INDEX(proveedores[Nivel de criticidad],MATCH(A889,proveedores[Código],0)),""))</f>
        <v/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5">
        <f t="shared" si="32"/>
        <v>100</v>
      </c>
      <c r="V889" s="12" t="str">
        <f t="shared" si="33"/>
        <v>Clase A++</v>
      </c>
    </row>
    <row r="890" spans="1:22" x14ac:dyDescent="0.2">
      <c r="A890" s="13"/>
      <c r="B890" s="14" t="str">
        <f>IF(A890="","",INDEX(proveedores[Proveedor],MATCH(A890,proveedores[Código],0)))</f>
        <v/>
      </c>
      <c r="C890" s="14" t="str">
        <f>IF(A890="","",INDEX(proveedores[Material],MATCH(A890,proveedores[Código],0)))</f>
        <v/>
      </c>
      <c r="D890" s="15" t="str">
        <f>IF(A890="","",INDEX(proveedores[Perfil],MATCH(A890,proveedores[Código],0)))</f>
        <v/>
      </c>
      <c r="E890" s="15" t="str">
        <f>IF(A890="","",IFERROR(INDEX(proveedores[Nivel de criticidad],MATCH(A890,proveedores[Código],0)),""))</f>
        <v/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5">
        <f t="shared" si="32"/>
        <v>100</v>
      </c>
      <c r="V890" s="12" t="str">
        <f t="shared" si="33"/>
        <v>Clase A++</v>
      </c>
    </row>
    <row r="891" spans="1:22" x14ac:dyDescent="0.2">
      <c r="A891" s="13"/>
      <c r="B891" s="14" t="str">
        <f>IF(A891="","",INDEX(proveedores[Proveedor],MATCH(A891,proveedores[Código],0)))</f>
        <v/>
      </c>
      <c r="C891" s="14" t="str">
        <f>IF(A891="","",INDEX(proveedores[Material],MATCH(A891,proveedores[Código],0)))</f>
        <v/>
      </c>
      <c r="D891" s="15" t="str">
        <f>IF(A891="","",INDEX(proveedores[Perfil],MATCH(A891,proveedores[Código],0)))</f>
        <v/>
      </c>
      <c r="E891" s="15" t="str">
        <f>IF(A891="","",IFERROR(INDEX(proveedores[Nivel de criticidad],MATCH(A891,proveedores[Código],0)),""))</f>
        <v/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5">
        <f t="shared" si="32"/>
        <v>100</v>
      </c>
      <c r="V891" s="12" t="str">
        <f t="shared" si="33"/>
        <v>Clase A++</v>
      </c>
    </row>
    <row r="892" spans="1:22" x14ac:dyDescent="0.2">
      <c r="A892" s="13"/>
      <c r="B892" s="14" t="str">
        <f>IF(A892="","",INDEX(proveedores[Proveedor],MATCH(A892,proveedores[Código],0)))</f>
        <v/>
      </c>
      <c r="C892" s="14" t="str">
        <f>IF(A892="","",INDEX(proveedores[Material],MATCH(A892,proveedores[Código],0)))</f>
        <v/>
      </c>
      <c r="D892" s="15" t="str">
        <f>IF(A892="","",INDEX(proveedores[Perfil],MATCH(A892,proveedores[Código],0)))</f>
        <v/>
      </c>
      <c r="E892" s="15" t="str">
        <f>IF(A892="","",IFERROR(INDEX(proveedores[Nivel de criticidad],MATCH(A892,proveedores[Código],0)),""))</f>
        <v/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5">
        <f t="shared" si="32"/>
        <v>100</v>
      </c>
      <c r="V892" s="12" t="str">
        <f t="shared" si="33"/>
        <v>Clase A++</v>
      </c>
    </row>
    <row r="893" spans="1:22" x14ac:dyDescent="0.2">
      <c r="A893" s="13"/>
      <c r="B893" s="14" t="str">
        <f>IF(A893="","",INDEX(proveedores[Proveedor],MATCH(A893,proveedores[Código],0)))</f>
        <v/>
      </c>
      <c r="C893" s="14" t="str">
        <f>IF(A893="","",INDEX(proveedores[Material],MATCH(A893,proveedores[Código],0)))</f>
        <v/>
      </c>
      <c r="D893" s="15" t="str">
        <f>IF(A893="","",INDEX(proveedores[Perfil],MATCH(A893,proveedores[Código],0)))</f>
        <v/>
      </c>
      <c r="E893" s="15" t="str">
        <f>IF(A893="","",IFERROR(INDEX(proveedores[Nivel de criticidad],MATCH(A893,proveedores[Código],0)),""))</f>
        <v/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5">
        <f t="shared" si="32"/>
        <v>100</v>
      </c>
      <c r="V893" s="12" t="str">
        <f t="shared" si="33"/>
        <v>Clase A++</v>
      </c>
    </row>
    <row r="894" spans="1:22" x14ac:dyDescent="0.2">
      <c r="A894" s="13"/>
      <c r="B894" s="14" t="str">
        <f>IF(A894="","",INDEX(proveedores[Proveedor],MATCH(A894,proveedores[Código],0)))</f>
        <v/>
      </c>
      <c r="C894" s="14" t="str">
        <f>IF(A894="","",INDEX(proveedores[Material],MATCH(A894,proveedores[Código],0)))</f>
        <v/>
      </c>
      <c r="D894" s="15" t="str">
        <f>IF(A894="","",INDEX(proveedores[Perfil],MATCH(A894,proveedores[Código],0)))</f>
        <v/>
      </c>
      <c r="E894" s="15" t="str">
        <f>IF(A894="","",IFERROR(INDEX(proveedores[Nivel de criticidad],MATCH(A894,proveedores[Código],0)),""))</f>
        <v/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5">
        <f t="shared" si="32"/>
        <v>100</v>
      </c>
      <c r="V894" s="12" t="str">
        <f t="shared" si="33"/>
        <v>Clase A++</v>
      </c>
    </row>
    <row r="895" spans="1:22" x14ac:dyDescent="0.2">
      <c r="A895" s="13"/>
      <c r="B895" s="14" t="str">
        <f>IF(A895="","",INDEX(proveedores[Proveedor],MATCH(A895,proveedores[Código],0)))</f>
        <v/>
      </c>
      <c r="C895" s="14" t="str">
        <f>IF(A895="","",INDEX(proveedores[Material],MATCH(A895,proveedores[Código],0)))</f>
        <v/>
      </c>
      <c r="D895" s="15" t="str">
        <f>IF(A895="","",INDEX(proveedores[Perfil],MATCH(A895,proveedores[Código],0)))</f>
        <v/>
      </c>
      <c r="E895" s="15" t="str">
        <f>IF(A895="","",IFERROR(INDEX(proveedores[Nivel de criticidad],MATCH(A895,proveedores[Código],0)),""))</f>
        <v/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5">
        <f t="shared" si="32"/>
        <v>100</v>
      </c>
      <c r="V895" s="12" t="str">
        <f t="shared" si="33"/>
        <v>Clase A++</v>
      </c>
    </row>
    <row r="896" spans="1:22" x14ac:dyDescent="0.2">
      <c r="A896" s="13"/>
      <c r="B896" s="14" t="str">
        <f>IF(A896="","",INDEX(proveedores[Proveedor],MATCH(A896,proveedores[Código],0)))</f>
        <v/>
      </c>
      <c r="C896" s="14" t="str">
        <f>IF(A896="","",INDEX(proveedores[Material],MATCH(A896,proveedores[Código],0)))</f>
        <v/>
      </c>
      <c r="D896" s="15" t="str">
        <f>IF(A896="","",INDEX(proveedores[Perfil],MATCH(A896,proveedores[Código],0)))</f>
        <v/>
      </c>
      <c r="E896" s="15" t="str">
        <f>IF(A896="","",IFERROR(INDEX(proveedores[Nivel de criticidad],MATCH(A896,proveedores[Código],0)),""))</f>
        <v/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5">
        <f t="shared" si="32"/>
        <v>100</v>
      </c>
      <c r="V896" s="12" t="str">
        <f t="shared" si="33"/>
        <v>Clase A++</v>
      </c>
    </row>
    <row r="897" spans="1:22" x14ac:dyDescent="0.2">
      <c r="A897" s="13"/>
      <c r="B897" s="14" t="str">
        <f>IF(A897="","",INDEX(proveedores[Proveedor],MATCH(A897,proveedores[Código],0)))</f>
        <v/>
      </c>
      <c r="C897" s="14" t="str">
        <f>IF(A897="","",INDEX(proveedores[Material],MATCH(A897,proveedores[Código],0)))</f>
        <v/>
      </c>
      <c r="D897" s="15" t="str">
        <f>IF(A897="","",INDEX(proveedores[Perfil],MATCH(A897,proveedores[Código],0)))</f>
        <v/>
      </c>
      <c r="E897" s="15" t="str">
        <f>IF(A897="","",IFERROR(INDEX(proveedores[Nivel de criticidad],MATCH(A897,proveedores[Código],0)),""))</f>
        <v/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5">
        <f t="shared" si="32"/>
        <v>100</v>
      </c>
      <c r="V897" s="12" t="str">
        <f t="shared" si="33"/>
        <v>Clase A++</v>
      </c>
    </row>
    <row r="898" spans="1:22" x14ac:dyDescent="0.2">
      <c r="A898" s="13"/>
      <c r="B898" s="14" t="str">
        <f>IF(A898="","",INDEX(proveedores[Proveedor],MATCH(A898,proveedores[Código],0)))</f>
        <v/>
      </c>
      <c r="C898" s="14" t="str">
        <f>IF(A898="","",INDEX(proveedores[Material],MATCH(A898,proveedores[Código],0)))</f>
        <v/>
      </c>
      <c r="D898" s="15" t="str">
        <f>IF(A898="","",INDEX(proveedores[Perfil],MATCH(A898,proveedores[Código],0)))</f>
        <v/>
      </c>
      <c r="E898" s="15" t="str">
        <f>IF(A898="","",IFERROR(INDEX(proveedores[Nivel de criticidad],MATCH(A898,proveedores[Código],0)),""))</f>
        <v/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5">
        <f t="shared" si="32"/>
        <v>100</v>
      </c>
      <c r="V898" s="12" t="str">
        <f t="shared" si="33"/>
        <v>Clase A++</v>
      </c>
    </row>
    <row r="899" spans="1:22" x14ac:dyDescent="0.2">
      <c r="A899" s="13"/>
      <c r="B899" s="14" t="str">
        <f>IF(A899="","",INDEX(proveedores[Proveedor],MATCH(A899,proveedores[Código],0)))</f>
        <v/>
      </c>
      <c r="C899" s="14" t="str">
        <f>IF(A899="","",INDEX(proveedores[Material],MATCH(A899,proveedores[Código],0)))</f>
        <v/>
      </c>
      <c r="D899" s="15" t="str">
        <f>IF(A899="","",INDEX(proveedores[Perfil],MATCH(A899,proveedores[Código],0)))</f>
        <v/>
      </c>
      <c r="E899" s="15" t="str">
        <f>IF(A899="","",IFERROR(INDEX(proveedores[Nivel de criticidad],MATCH(A899,proveedores[Código],0)),""))</f>
        <v/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5">
        <f t="shared" si="32"/>
        <v>100</v>
      </c>
      <c r="V899" s="12" t="str">
        <f t="shared" si="33"/>
        <v>Clase A++</v>
      </c>
    </row>
    <row r="900" spans="1:22" x14ac:dyDescent="0.2">
      <c r="A900" s="13"/>
      <c r="B900" s="14" t="str">
        <f>IF(A900="","",INDEX(proveedores[Proveedor],MATCH(A900,proveedores[Código],0)))</f>
        <v/>
      </c>
      <c r="C900" s="14" t="str">
        <f>IF(A900="","",INDEX(proveedores[Material],MATCH(A900,proveedores[Código],0)))</f>
        <v/>
      </c>
      <c r="D900" s="15" t="str">
        <f>IF(A900="","",INDEX(proveedores[Perfil],MATCH(A900,proveedores[Código],0)))</f>
        <v/>
      </c>
      <c r="E900" s="15" t="str">
        <f>IF(A900="","",IFERROR(INDEX(proveedores[Nivel de criticidad],MATCH(A900,proveedores[Código],0)),""))</f>
        <v/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5">
        <f t="shared" si="32"/>
        <v>100</v>
      </c>
      <c r="V900" s="12" t="str">
        <f t="shared" si="33"/>
        <v>Clase A++</v>
      </c>
    </row>
    <row r="901" spans="1:22" x14ac:dyDescent="0.2">
      <c r="A901" s="13"/>
      <c r="B901" s="14" t="str">
        <f>IF(A901="","",INDEX(proveedores[Proveedor],MATCH(A901,proveedores[Código],0)))</f>
        <v/>
      </c>
      <c r="C901" s="14" t="str">
        <f>IF(A901="","",INDEX(proveedores[Material],MATCH(A901,proveedores[Código],0)))</f>
        <v/>
      </c>
      <c r="D901" s="15" t="str">
        <f>IF(A901="","",INDEX(proveedores[Perfil],MATCH(A901,proveedores[Código],0)))</f>
        <v/>
      </c>
      <c r="E901" s="15" t="str">
        <f>IF(A901="","",IFERROR(INDEX(proveedores[Nivel de criticidad],MATCH(A901,proveedores[Código],0)),""))</f>
        <v/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5">
        <f t="shared" si="32"/>
        <v>100</v>
      </c>
      <c r="V901" s="12" t="str">
        <f t="shared" si="33"/>
        <v>Clase A++</v>
      </c>
    </row>
    <row r="902" spans="1:22" x14ac:dyDescent="0.2">
      <c r="A902" s="13"/>
      <c r="B902" s="14" t="str">
        <f>IF(A902="","",INDEX(proveedores[Proveedor],MATCH(A902,proveedores[Código],0)))</f>
        <v/>
      </c>
      <c r="C902" s="14" t="str">
        <f>IF(A902="","",INDEX(proveedores[Material],MATCH(A902,proveedores[Código],0)))</f>
        <v/>
      </c>
      <c r="D902" s="15" t="str">
        <f>IF(A902="","",INDEX(proveedores[Perfil],MATCH(A902,proveedores[Código],0)))</f>
        <v/>
      </c>
      <c r="E902" s="15" t="str">
        <f>IF(A902="","",IFERROR(INDEX(proveedores[Nivel de criticidad],MATCH(A902,proveedores[Código],0)),""))</f>
        <v/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5">
        <f t="shared" ref="U902:U965" si="34">IF(D902="Internacional", MIN(IF(((F902*10)+(G902*3)+(H902*4)+(I902*5)+(J902*8)+(O902*5)+(P902*2)+IF(L902="N/A",0,(L902*10)+(M902*5)+(N902*3)))&gt;0,98,100), ((MAX(0, 30 - (F902*10) - (G902*3))/30)*45) + ((MAX(0, 25 - (H902*4) - (I902*5) - (J902*8) - (K902*5))/25)*35) + ((MAX(0, 15 - (O902*5) - (P902*2))/15)*20) + (IF(Q902="N/A",0,Q902)*2.5) + (IF(R902="N/A",0,R902)*2.5) + (IF(S902="N/A",0,S902)*2.5) + (IF(T902="N/A",0,T902)*2.5)), IF(D902="Local Insumos", MIN(IF(((F902*10)+(G902*3)+(H902*4)+(I902*5)+(J902*8)+(O902*5)+(P902*2)+IF(L902="N/A",0,(L902*10)+(M902*5)+(N902*3)))&gt;0,98,100), ((MAX(0, 30 - (F902*10) - (G902*3))/30)*35) + ((MAX(0, 25 - (H902*4) - (I902*5) - (J902*8) - (K902*5))/25)*30) + MAX(0, 20 - (L902*10) - (M902*5) - (N902*3)) + MAX(0, 15 - (O902*5) - (P902*2)) + (IF(Q902="N/A",0,Q902)*2.5) + (IF(R902="N/A",0,R902)*2.5) + (IF(S902="N/A",0,S902)*2.5) + (IF(T902="N/A",0,T902)*2.5)), MIN(IF(((F902*10)+(G902*3)+(H902*4)+(I902*5)+(J902*8)+(O902*5)+(P902*2)+IF(L902="N/A",0,(L902*10)+(M902*5)+(N902*3)))&gt;0,98,100), ((MAX(0, 25 - (H902*4) - (I902*5) - (J902*8) - (K902*5))/25)*55) + ((MAX(0, 20 - (L902*10) - (M902*5) - (N902*3))/20)*30) + ((MAX(0, 15 - (O902*5) - (P902*2))/15)*15))))</f>
        <v>100</v>
      </c>
      <c r="V902" s="12" t="str">
        <f t="shared" si="33"/>
        <v>Clase A++</v>
      </c>
    </row>
    <row r="903" spans="1:22" x14ac:dyDescent="0.2">
      <c r="A903" s="13"/>
      <c r="B903" s="14" t="str">
        <f>IF(A903="","",INDEX(proveedores[Proveedor],MATCH(A903,proveedores[Código],0)))</f>
        <v/>
      </c>
      <c r="C903" s="14" t="str">
        <f>IF(A903="","",INDEX(proveedores[Material],MATCH(A903,proveedores[Código],0)))</f>
        <v/>
      </c>
      <c r="D903" s="15" t="str">
        <f>IF(A903="","",INDEX(proveedores[Perfil],MATCH(A903,proveedores[Código],0)))</f>
        <v/>
      </c>
      <c r="E903" s="15" t="str">
        <f>IF(A903="","",IFERROR(INDEX(proveedores[Nivel de criticidad],MATCH(A903,proveedores[Código],0)),""))</f>
        <v/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5">
        <f t="shared" si="34"/>
        <v>100</v>
      </c>
      <c r="V903" s="12" t="str">
        <f t="shared" ref="V903:V966" si="35">IF(U903&gt;=96, "Clase A++", IF(U903&gt;=85, "Clase A", IF(U903&gt;=70, "Clase B", "Clase C")))</f>
        <v>Clase A++</v>
      </c>
    </row>
    <row r="904" spans="1:22" x14ac:dyDescent="0.2">
      <c r="A904" s="13"/>
      <c r="B904" s="14" t="str">
        <f>IF(A904="","",INDEX(proveedores[Proveedor],MATCH(A904,proveedores[Código],0)))</f>
        <v/>
      </c>
      <c r="C904" s="14" t="str">
        <f>IF(A904="","",INDEX(proveedores[Material],MATCH(A904,proveedores[Código],0)))</f>
        <v/>
      </c>
      <c r="D904" s="15" t="str">
        <f>IF(A904="","",INDEX(proveedores[Perfil],MATCH(A904,proveedores[Código],0)))</f>
        <v/>
      </c>
      <c r="E904" s="15" t="str">
        <f>IF(A904="","",IFERROR(INDEX(proveedores[Nivel de criticidad],MATCH(A904,proveedores[Código],0)),""))</f>
        <v/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5">
        <f t="shared" si="34"/>
        <v>100</v>
      </c>
      <c r="V904" s="12" t="str">
        <f t="shared" si="35"/>
        <v>Clase A++</v>
      </c>
    </row>
    <row r="905" spans="1:22" x14ac:dyDescent="0.2">
      <c r="A905" s="13"/>
      <c r="B905" s="14" t="str">
        <f>IF(A905="","",INDEX(proveedores[Proveedor],MATCH(A905,proveedores[Código],0)))</f>
        <v/>
      </c>
      <c r="C905" s="14" t="str">
        <f>IF(A905="","",INDEX(proveedores[Material],MATCH(A905,proveedores[Código],0)))</f>
        <v/>
      </c>
      <c r="D905" s="15" t="str">
        <f>IF(A905="","",INDEX(proveedores[Perfil],MATCH(A905,proveedores[Código],0)))</f>
        <v/>
      </c>
      <c r="E905" s="15" t="str">
        <f>IF(A905="","",IFERROR(INDEX(proveedores[Nivel de criticidad],MATCH(A905,proveedores[Código],0)),""))</f>
        <v/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5">
        <f t="shared" si="34"/>
        <v>100</v>
      </c>
      <c r="V905" s="12" t="str">
        <f t="shared" si="35"/>
        <v>Clase A++</v>
      </c>
    </row>
    <row r="906" spans="1:22" x14ac:dyDescent="0.2">
      <c r="A906" s="13"/>
      <c r="B906" s="14" t="str">
        <f>IF(A906="","",INDEX(proveedores[Proveedor],MATCH(A906,proveedores[Código],0)))</f>
        <v/>
      </c>
      <c r="C906" s="14" t="str">
        <f>IF(A906="","",INDEX(proveedores[Material],MATCH(A906,proveedores[Código],0)))</f>
        <v/>
      </c>
      <c r="D906" s="15" t="str">
        <f>IF(A906="","",INDEX(proveedores[Perfil],MATCH(A906,proveedores[Código],0)))</f>
        <v/>
      </c>
      <c r="E906" s="15" t="str">
        <f>IF(A906="","",IFERROR(INDEX(proveedores[Nivel de criticidad],MATCH(A906,proveedores[Código],0)),""))</f>
        <v/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5">
        <f t="shared" si="34"/>
        <v>100</v>
      </c>
      <c r="V906" s="12" t="str">
        <f t="shared" si="35"/>
        <v>Clase A++</v>
      </c>
    </row>
    <row r="907" spans="1:22" x14ac:dyDescent="0.2">
      <c r="A907" s="13"/>
      <c r="B907" s="14" t="str">
        <f>IF(A907="","",INDEX(proveedores[Proveedor],MATCH(A907,proveedores[Código],0)))</f>
        <v/>
      </c>
      <c r="C907" s="14" t="str">
        <f>IF(A907="","",INDEX(proveedores[Material],MATCH(A907,proveedores[Código],0)))</f>
        <v/>
      </c>
      <c r="D907" s="15" t="str">
        <f>IF(A907="","",INDEX(proveedores[Perfil],MATCH(A907,proveedores[Código],0)))</f>
        <v/>
      </c>
      <c r="E907" s="15" t="str">
        <f>IF(A907="","",IFERROR(INDEX(proveedores[Nivel de criticidad],MATCH(A907,proveedores[Código],0)),""))</f>
        <v/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5">
        <f t="shared" si="34"/>
        <v>100</v>
      </c>
      <c r="V907" s="12" t="str">
        <f t="shared" si="35"/>
        <v>Clase A++</v>
      </c>
    </row>
    <row r="908" spans="1:22" x14ac:dyDescent="0.2">
      <c r="A908" s="13"/>
      <c r="B908" s="14" t="str">
        <f>IF(A908="","",INDEX(proveedores[Proveedor],MATCH(A908,proveedores[Código],0)))</f>
        <v/>
      </c>
      <c r="C908" s="14" t="str">
        <f>IF(A908="","",INDEX(proveedores[Material],MATCH(A908,proveedores[Código],0)))</f>
        <v/>
      </c>
      <c r="D908" s="15" t="str">
        <f>IF(A908="","",INDEX(proveedores[Perfil],MATCH(A908,proveedores[Código],0)))</f>
        <v/>
      </c>
      <c r="E908" s="15" t="str">
        <f>IF(A908="","",IFERROR(INDEX(proveedores[Nivel de criticidad],MATCH(A908,proveedores[Código],0)),""))</f>
        <v/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5">
        <f t="shared" si="34"/>
        <v>100</v>
      </c>
      <c r="V908" s="12" t="str">
        <f t="shared" si="35"/>
        <v>Clase A++</v>
      </c>
    </row>
    <row r="909" spans="1:22" x14ac:dyDescent="0.2">
      <c r="A909" s="13"/>
      <c r="B909" s="14" t="str">
        <f>IF(A909="","",INDEX(proveedores[Proveedor],MATCH(A909,proveedores[Código],0)))</f>
        <v/>
      </c>
      <c r="C909" s="14" t="str">
        <f>IF(A909="","",INDEX(proveedores[Material],MATCH(A909,proveedores[Código],0)))</f>
        <v/>
      </c>
      <c r="D909" s="15" t="str">
        <f>IF(A909="","",INDEX(proveedores[Perfil],MATCH(A909,proveedores[Código],0)))</f>
        <v/>
      </c>
      <c r="E909" s="15" t="str">
        <f>IF(A909="","",IFERROR(INDEX(proveedores[Nivel de criticidad],MATCH(A909,proveedores[Código],0)),""))</f>
        <v/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5">
        <f t="shared" si="34"/>
        <v>100</v>
      </c>
      <c r="V909" s="12" t="str">
        <f t="shared" si="35"/>
        <v>Clase A++</v>
      </c>
    </row>
    <row r="910" spans="1:22" x14ac:dyDescent="0.2">
      <c r="A910" s="13"/>
      <c r="B910" s="14" t="str">
        <f>IF(A910="","",INDEX(proveedores[Proveedor],MATCH(A910,proveedores[Código],0)))</f>
        <v/>
      </c>
      <c r="C910" s="14" t="str">
        <f>IF(A910="","",INDEX(proveedores[Material],MATCH(A910,proveedores[Código],0)))</f>
        <v/>
      </c>
      <c r="D910" s="15" t="str">
        <f>IF(A910="","",INDEX(proveedores[Perfil],MATCH(A910,proveedores[Código],0)))</f>
        <v/>
      </c>
      <c r="E910" s="15" t="str">
        <f>IF(A910="","",IFERROR(INDEX(proveedores[Nivel de criticidad],MATCH(A910,proveedores[Código],0)),""))</f>
        <v/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5">
        <f t="shared" si="34"/>
        <v>100</v>
      </c>
      <c r="V910" s="12" t="str">
        <f t="shared" si="35"/>
        <v>Clase A++</v>
      </c>
    </row>
    <row r="911" spans="1:22" x14ac:dyDescent="0.2">
      <c r="A911" s="13"/>
      <c r="B911" s="14" t="str">
        <f>IF(A911="","",INDEX(proveedores[Proveedor],MATCH(A911,proveedores[Código],0)))</f>
        <v/>
      </c>
      <c r="C911" s="14" t="str">
        <f>IF(A911="","",INDEX(proveedores[Material],MATCH(A911,proveedores[Código],0)))</f>
        <v/>
      </c>
      <c r="D911" s="15" t="str">
        <f>IF(A911="","",INDEX(proveedores[Perfil],MATCH(A911,proveedores[Código],0)))</f>
        <v/>
      </c>
      <c r="E911" s="15" t="str">
        <f>IF(A911="","",IFERROR(INDEX(proveedores[Nivel de criticidad],MATCH(A911,proveedores[Código],0)),""))</f>
        <v/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5">
        <f t="shared" si="34"/>
        <v>100</v>
      </c>
      <c r="V911" s="12" t="str">
        <f t="shared" si="35"/>
        <v>Clase A++</v>
      </c>
    </row>
    <row r="912" spans="1:22" x14ac:dyDescent="0.2">
      <c r="A912" s="13"/>
      <c r="B912" s="14" t="str">
        <f>IF(A912="","",INDEX(proveedores[Proveedor],MATCH(A912,proveedores[Código],0)))</f>
        <v/>
      </c>
      <c r="C912" s="14" t="str">
        <f>IF(A912="","",INDEX(proveedores[Material],MATCH(A912,proveedores[Código],0)))</f>
        <v/>
      </c>
      <c r="D912" s="15" t="str">
        <f>IF(A912="","",INDEX(proveedores[Perfil],MATCH(A912,proveedores[Código],0)))</f>
        <v/>
      </c>
      <c r="E912" s="15" t="str">
        <f>IF(A912="","",IFERROR(INDEX(proveedores[Nivel de criticidad],MATCH(A912,proveedores[Código],0)),""))</f>
        <v/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5">
        <f t="shared" si="34"/>
        <v>100</v>
      </c>
      <c r="V912" s="12" t="str">
        <f t="shared" si="35"/>
        <v>Clase A++</v>
      </c>
    </row>
    <row r="913" spans="1:22" x14ac:dyDescent="0.2">
      <c r="A913" s="13"/>
      <c r="B913" s="14" t="str">
        <f>IF(A913="","",INDEX(proveedores[Proveedor],MATCH(A913,proveedores[Código],0)))</f>
        <v/>
      </c>
      <c r="C913" s="14" t="str">
        <f>IF(A913="","",INDEX(proveedores[Material],MATCH(A913,proveedores[Código],0)))</f>
        <v/>
      </c>
      <c r="D913" s="15" t="str">
        <f>IF(A913="","",INDEX(proveedores[Perfil],MATCH(A913,proveedores[Código],0)))</f>
        <v/>
      </c>
      <c r="E913" s="15" t="str">
        <f>IF(A913="","",IFERROR(INDEX(proveedores[Nivel de criticidad],MATCH(A913,proveedores[Código],0)),""))</f>
        <v/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5">
        <f t="shared" si="34"/>
        <v>100</v>
      </c>
      <c r="V913" s="12" t="str">
        <f t="shared" si="35"/>
        <v>Clase A++</v>
      </c>
    </row>
    <row r="914" spans="1:22" x14ac:dyDescent="0.2">
      <c r="A914" s="13"/>
      <c r="B914" s="14" t="str">
        <f>IF(A914="","",INDEX(proveedores[Proveedor],MATCH(A914,proveedores[Código],0)))</f>
        <v/>
      </c>
      <c r="C914" s="14" t="str">
        <f>IF(A914="","",INDEX(proveedores[Material],MATCH(A914,proveedores[Código],0)))</f>
        <v/>
      </c>
      <c r="D914" s="15" t="str">
        <f>IF(A914="","",INDEX(proveedores[Perfil],MATCH(A914,proveedores[Código],0)))</f>
        <v/>
      </c>
      <c r="E914" s="15" t="str">
        <f>IF(A914="","",IFERROR(INDEX(proveedores[Nivel de criticidad],MATCH(A914,proveedores[Código],0)),""))</f>
        <v/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5">
        <f t="shared" si="34"/>
        <v>100</v>
      </c>
      <c r="V914" s="12" t="str">
        <f t="shared" si="35"/>
        <v>Clase A++</v>
      </c>
    </row>
    <row r="915" spans="1:22" x14ac:dyDescent="0.2">
      <c r="A915" s="13"/>
      <c r="B915" s="14" t="str">
        <f>IF(A915="","",INDEX(proveedores[Proveedor],MATCH(A915,proveedores[Código],0)))</f>
        <v/>
      </c>
      <c r="C915" s="14" t="str">
        <f>IF(A915="","",INDEX(proveedores[Material],MATCH(A915,proveedores[Código],0)))</f>
        <v/>
      </c>
      <c r="D915" s="15" t="str">
        <f>IF(A915="","",INDEX(proveedores[Perfil],MATCH(A915,proveedores[Código],0)))</f>
        <v/>
      </c>
      <c r="E915" s="15" t="str">
        <f>IF(A915="","",IFERROR(INDEX(proveedores[Nivel de criticidad],MATCH(A915,proveedores[Código],0)),""))</f>
        <v/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5">
        <f t="shared" si="34"/>
        <v>100</v>
      </c>
      <c r="V915" s="12" t="str">
        <f t="shared" si="35"/>
        <v>Clase A++</v>
      </c>
    </row>
    <row r="916" spans="1:22" x14ac:dyDescent="0.2">
      <c r="A916" s="13"/>
      <c r="B916" s="14" t="str">
        <f>IF(A916="","",INDEX(proveedores[Proveedor],MATCH(A916,proveedores[Código],0)))</f>
        <v/>
      </c>
      <c r="C916" s="14" t="str">
        <f>IF(A916="","",INDEX(proveedores[Material],MATCH(A916,proveedores[Código],0)))</f>
        <v/>
      </c>
      <c r="D916" s="15" t="str">
        <f>IF(A916="","",INDEX(proveedores[Perfil],MATCH(A916,proveedores[Código],0)))</f>
        <v/>
      </c>
      <c r="E916" s="15" t="str">
        <f>IF(A916="","",IFERROR(INDEX(proveedores[Nivel de criticidad],MATCH(A916,proveedores[Código],0)),""))</f>
        <v/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5">
        <f t="shared" si="34"/>
        <v>100</v>
      </c>
      <c r="V916" s="12" t="str">
        <f t="shared" si="35"/>
        <v>Clase A++</v>
      </c>
    </row>
    <row r="917" spans="1:22" x14ac:dyDescent="0.2">
      <c r="A917" s="13"/>
      <c r="B917" s="14" t="str">
        <f>IF(A917="","",INDEX(proveedores[Proveedor],MATCH(A917,proveedores[Código],0)))</f>
        <v/>
      </c>
      <c r="C917" s="14" t="str">
        <f>IF(A917="","",INDEX(proveedores[Material],MATCH(A917,proveedores[Código],0)))</f>
        <v/>
      </c>
      <c r="D917" s="15" t="str">
        <f>IF(A917="","",INDEX(proveedores[Perfil],MATCH(A917,proveedores[Código],0)))</f>
        <v/>
      </c>
      <c r="E917" s="15" t="str">
        <f>IF(A917="","",IFERROR(INDEX(proveedores[Nivel de criticidad],MATCH(A917,proveedores[Código],0)),""))</f>
        <v/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5">
        <f t="shared" si="34"/>
        <v>100</v>
      </c>
      <c r="V917" s="12" t="str">
        <f t="shared" si="35"/>
        <v>Clase A++</v>
      </c>
    </row>
    <row r="918" spans="1:22" x14ac:dyDescent="0.2">
      <c r="A918" s="13"/>
      <c r="B918" s="14" t="str">
        <f>IF(A918="","",INDEX(proveedores[Proveedor],MATCH(A918,proveedores[Código],0)))</f>
        <v/>
      </c>
      <c r="C918" s="14" t="str">
        <f>IF(A918="","",INDEX(proveedores[Material],MATCH(A918,proveedores[Código],0)))</f>
        <v/>
      </c>
      <c r="D918" s="15" t="str">
        <f>IF(A918="","",INDEX(proveedores[Perfil],MATCH(A918,proveedores[Código],0)))</f>
        <v/>
      </c>
      <c r="E918" s="15" t="str">
        <f>IF(A918="","",IFERROR(INDEX(proveedores[Nivel de criticidad],MATCH(A918,proveedores[Código],0)),""))</f>
        <v/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5">
        <f t="shared" si="34"/>
        <v>100</v>
      </c>
      <c r="V918" s="12" t="str">
        <f t="shared" si="35"/>
        <v>Clase A++</v>
      </c>
    </row>
    <row r="919" spans="1:22" x14ac:dyDescent="0.2">
      <c r="A919" s="13"/>
      <c r="B919" s="14" t="str">
        <f>IF(A919="","",INDEX(proveedores[Proveedor],MATCH(A919,proveedores[Código],0)))</f>
        <v/>
      </c>
      <c r="C919" s="14" t="str">
        <f>IF(A919="","",INDEX(proveedores[Material],MATCH(A919,proveedores[Código],0)))</f>
        <v/>
      </c>
      <c r="D919" s="15" t="str">
        <f>IF(A919="","",INDEX(proveedores[Perfil],MATCH(A919,proveedores[Código],0)))</f>
        <v/>
      </c>
      <c r="E919" s="15" t="str">
        <f>IF(A919="","",IFERROR(INDEX(proveedores[Nivel de criticidad],MATCH(A919,proveedores[Código],0)),""))</f>
        <v/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5">
        <f t="shared" si="34"/>
        <v>100</v>
      </c>
      <c r="V919" s="12" t="str">
        <f t="shared" si="35"/>
        <v>Clase A++</v>
      </c>
    </row>
    <row r="920" spans="1:22" x14ac:dyDescent="0.2">
      <c r="A920" s="13"/>
      <c r="B920" s="14" t="str">
        <f>IF(A920="","",INDEX(proveedores[Proveedor],MATCH(A920,proveedores[Código],0)))</f>
        <v/>
      </c>
      <c r="C920" s="14" t="str">
        <f>IF(A920="","",INDEX(proveedores[Material],MATCH(A920,proveedores[Código],0)))</f>
        <v/>
      </c>
      <c r="D920" s="15" t="str">
        <f>IF(A920="","",INDEX(proveedores[Perfil],MATCH(A920,proveedores[Código],0)))</f>
        <v/>
      </c>
      <c r="E920" s="15" t="str">
        <f>IF(A920="","",IFERROR(INDEX(proveedores[Nivel de criticidad],MATCH(A920,proveedores[Código],0)),""))</f>
        <v/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5">
        <f t="shared" si="34"/>
        <v>100</v>
      </c>
      <c r="V920" s="12" t="str">
        <f t="shared" si="35"/>
        <v>Clase A++</v>
      </c>
    </row>
    <row r="921" spans="1:22" x14ac:dyDescent="0.2">
      <c r="A921" s="13"/>
      <c r="B921" s="14" t="str">
        <f>IF(A921="","",INDEX(proveedores[Proveedor],MATCH(A921,proveedores[Código],0)))</f>
        <v/>
      </c>
      <c r="C921" s="14" t="str">
        <f>IF(A921="","",INDEX(proveedores[Material],MATCH(A921,proveedores[Código],0)))</f>
        <v/>
      </c>
      <c r="D921" s="15" t="str">
        <f>IF(A921="","",INDEX(proveedores[Perfil],MATCH(A921,proveedores[Código],0)))</f>
        <v/>
      </c>
      <c r="E921" s="15" t="str">
        <f>IF(A921="","",IFERROR(INDEX(proveedores[Nivel de criticidad],MATCH(A921,proveedores[Código],0)),""))</f>
        <v/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5">
        <f t="shared" si="34"/>
        <v>100</v>
      </c>
      <c r="V921" s="12" t="str">
        <f t="shared" si="35"/>
        <v>Clase A++</v>
      </c>
    </row>
    <row r="922" spans="1:22" x14ac:dyDescent="0.2">
      <c r="A922" s="13"/>
      <c r="B922" s="14" t="str">
        <f>IF(A922="","",INDEX(proveedores[Proveedor],MATCH(A922,proveedores[Código],0)))</f>
        <v/>
      </c>
      <c r="C922" s="14" t="str">
        <f>IF(A922="","",INDEX(proveedores[Material],MATCH(A922,proveedores[Código],0)))</f>
        <v/>
      </c>
      <c r="D922" s="15" t="str">
        <f>IF(A922="","",INDEX(proveedores[Perfil],MATCH(A922,proveedores[Código],0)))</f>
        <v/>
      </c>
      <c r="E922" s="15" t="str">
        <f>IF(A922="","",IFERROR(INDEX(proveedores[Nivel de criticidad],MATCH(A922,proveedores[Código],0)),""))</f>
        <v/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5">
        <f t="shared" si="34"/>
        <v>100</v>
      </c>
      <c r="V922" s="12" t="str">
        <f t="shared" si="35"/>
        <v>Clase A++</v>
      </c>
    </row>
    <row r="923" spans="1:22" x14ac:dyDescent="0.2">
      <c r="A923" s="13"/>
      <c r="B923" s="14" t="str">
        <f>IF(A923="","",INDEX(proveedores[Proveedor],MATCH(A923,proveedores[Código],0)))</f>
        <v/>
      </c>
      <c r="C923" s="14" t="str">
        <f>IF(A923="","",INDEX(proveedores[Material],MATCH(A923,proveedores[Código],0)))</f>
        <v/>
      </c>
      <c r="D923" s="15" t="str">
        <f>IF(A923="","",INDEX(proveedores[Perfil],MATCH(A923,proveedores[Código],0)))</f>
        <v/>
      </c>
      <c r="E923" s="15" t="str">
        <f>IF(A923="","",IFERROR(INDEX(proveedores[Nivel de criticidad],MATCH(A923,proveedores[Código],0)),""))</f>
        <v/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5">
        <f t="shared" si="34"/>
        <v>100</v>
      </c>
      <c r="V923" s="12" t="str">
        <f t="shared" si="35"/>
        <v>Clase A++</v>
      </c>
    </row>
    <row r="924" spans="1:22" x14ac:dyDescent="0.2">
      <c r="A924" s="13"/>
      <c r="B924" s="14" t="str">
        <f>IF(A924="","",INDEX(proveedores[Proveedor],MATCH(A924,proveedores[Código],0)))</f>
        <v/>
      </c>
      <c r="C924" s="14" t="str">
        <f>IF(A924="","",INDEX(proveedores[Material],MATCH(A924,proveedores[Código],0)))</f>
        <v/>
      </c>
      <c r="D924" s="15" t="str">
        <f>IF(A924="","",INDEX(proveedores[Perfil],MATCH(A924,proveedores[Código],0)))</f>
        <v/>
      </c>
      <c r="E924" s="15" t="str">
        <f>IF(A924="","",IFERROR(INDEX(proveedores[Nivel de criticidad],MATCH(A924,proveedores[Código],0)),""))</f>
        <v/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5">
        <f t="shared" si="34"/>
        <v>100</v>
      </c>
      <c r="V924" s="12" t="str">
        <f t="shared" si="35"/>
        <v>Clase A++</v>
      </c>
    </row>
    <row r="925" spans="1:22" x14ac:dyDescent="0.2">
      <c r="A925" s="13"/>
      <c r="B925" s="14" t="str">
        <f>IF(A925="","",INDEX(proveedores[Proveedor],MATCH(A925,proveedores[Código],0)))</f>
        <v/>
      </c>
      <c r="C925" s="14" t="str">
        <f>IF(A925="","",INDEX(proveedores[Material],MATCH(A925,proveedores[Código],0)))</f>
        <v/>
      </c>
      <c r="D925" s="15" t="str">
        <f>IF(A925="","",INDEX(proveedores[Perfil],MATCH(A925,proveedores[Código],0)))</f>
        <v/>
      </c>
      <c r="E925" s="15" t="str">
        <f>IF(A925="","",IFERROR(INDEX(proveedores[Nivel de criticidad],MATCH(A925,proveedores[Código],0)),""))</f>
        <v/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5">
        <f t="shared" si="34"/>
        <v>100</v>
      </c>
      <c r="V925" s="12" t="str">
        <f t="shared" si="35"/>
        <v>Clase A++</v>
      </c>
    </row>
    <row r="926" spans="1:22" x14ac:dyDescent="0.2">
      <c r="A926" s="13"/>
      <c r="B926" s="14" t="str">
        <f>IF(A926="","",INDEX(proveedores[Proveedor],MATCH(A926,proveedores[Código],0)))</f>
        <v/>
      </c>
      <c r="C926" s="14" t="str">
        <f>IF(A926="","",INDEX(proveedores[Material],MATCH(A926,proveedores[Código],0)))</f>
        <v/>
      </c>
      <c r="D926" s="15" t="str">
        <f>IF(A926="","",INDEX(proveedores[Perfil],MATCH(A926,proveedores[Código],0)))</f>
        <v/>
      </c>
      <c r="E926" s="15" t="str">
        <f>IF(A926="","",IFERROR(INDEX(proveedores[Nivel de criticidad],MATCH(A926,proveedores[Código],0)),""))</f>
        <v/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5">
        <f t="shared" si="34"/>
        <v>100</v>
      </c>
      <c r="V926" s="12" t="str">
        <f t="shared" si="35"/>
        <v>Clase A++</v>
      </c>
    </row>
    <row r="927" spans="1:22" x14ac:dyDescent="0.2">
      <c r="A927" s="13"/>
      <c r="B927" s="14" t="str">
        <f>IF(A927="","",INDEX(proveedores[Proveedor],MATCH(A927,proveedores[Código],0)))</f>
        <v/>
      </c>
      <c r="C927" s="14" t="str">
        <f>IF(A927="","",INDEX(proveedores[Material],MATCH(A927,proveedores[Código],0)))</f>
        <v/>
      </c>
      <c r="D927" s="15" t="str">
        <f>IF(A927="","",INDEX(proveedores[Perfil],MATCH(A927,proveedores[Código],0)))</f>
        <v/>
      </c>
      <c r="E927" s="15" t="str">
        <f>IF(A927="","",IFERROR(INDEX(proveedores[Nivel de criticidad],MATCH(A927,proveedores[Código],0)),""))</f>
        <v/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5">
        <f t="shared" si="34"/>
        <v>100</v>
      </c>
      <c r="V927" s="12" t="str">
        <f t="shared" si="35"/>
        <v>Clase A++</v>
      </c>
    </row>
    <row r="928" spans="1:22" x14ac:dyDescent="0.2">
      <c r="A928" s="13"/>
      <c r="B928" s="14" t="str">
        <f>IF(A928="","",INDEX(proveedores[Proveedor],MATCH(A928,proveedores[Código],0)))</f>
        <v/>
      </c>
      <c r="C928" s="14" t="str">
        <f>IF(A928="","",INDEX(proveedores[Material],MATCH(A928,proveedores[Código],0)))</f>
        <v/>
      </c>
      <c r="D928" s="15" t="str">
        <f>IF(A928="","",INDEX(proveedores[Perfil],MATCH(A928,proveedores[Código],0)))</f>
        <v/>
      </c>
      <c r="E928" s="15" t="str">
        <f>IF(A928="","",IFERROR(INDEX(proveedores[Nivel de criticidad],MATCH(A928,proveedores[Código],0)),""))</f>
        <v/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5">
        <f t="shared" si="34"/>
        <v>100</v>
      </c>
      <c r="V928" s="12" t="str">
        <f t="shared" si="35"/>
        <v>Clase A++</v>
      </c>
    </row>
    <row r="929" spans="1:22" x14ac:dyDescent="0.2">
      <c r="A929" s="13"/>
      <c r="B929" s="14" t="str">
        <f>IF(A929="","",INDEX(proveedores[Proveedor],MATCH(A929,proveedores[Código],0)))</f>
        <v/>
      </c>
      <c r="C929" s="14" t="str">
        <f>IF(A929="","",INDEX(proveedores[Material],MATCH(A929,proveedores[Código],0)))</f>
        <v/>
      </c>
      <c r="D929" s="15" t="str">
        <f>IF(A929="","",INDEX(proveedores[Perfil],MATCH(A929,proveedores[Código],0)))</f>
        <v/>
      </c>
      <c r="E929" s="15" t="str">
        <f>IF(A929="","",IFERROR(INDEX(proveedores[Nivel de criticidad],MATCH(A929,proveedores[Código],0)),""))</f>
        <v/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5">
        <f t="shared" si="34"/>
        <v>100</v>
      </c>
      <c r="V929" s="12" t="str">
        <f t="shared" si="35"/>
        <v>Clase A++</v>
      </c>
    </row>
    <row r="930" spans="1:22" x14ac:dyDescent="0.2">
      <c r="A930" s="13"/>
      <c r="B930" s="14" t="str">
        <f>IF(A930="","",INDEX(proveedores[Proveedor],MATCH(A930,proveedores[Código],0)))</f>
        <v/>
      </c>
      <c r="C930" s="14" t="str">
        <f>IF(A930="","",INDEX(proveedores[Material],MATCH(A930,proveedores[Código],0)))</f>
        <v/>
      </c>
      <c r="D930" s="15" t="str">
        <f>IF(A930="","",INDEX(proveedores[Perfil],MATCH(A930,proveedores[Código],0)))</f>
        <v/>
      </c>
      <c r="E930" s="15" t="str">
        <f>IF(A930="","",IFERROR(INDEX(proveedores[Nivel de criticidad],MATCH(A930,proveedores[Código],0)),""))</f>
        <v/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5">
        <f t="shared" si="34"/>
        <v>100</v>
      </c>
      <c r="V930" s="12" t="str">
        <f t="shared" si="35"/>
        <v>Clase A++</v>
      </c>
    </row>
    <row r="931" spans="1:22" x14ac:dyDescent="0.2">
      <c r="A931" s="13"/>
      <c r="B931" s="14" t="str">
        <f>IF(A931="","",INDEX(proveedores[Proveedor],MATCH(A931,proveedores[Código],0)))</f>
        <v/>
      </c>
      <c r="C931" s="14" t="str">
        <f>IF(A931="","",INDEX(proveedores[Material],MATCH(A931,proveedores[Código],0)))</f>
        <v/>
      </c>
      <c r="D931" s="15" t="str">
        <f>IF(A931="","",INDEX(proveedores[Perfil],MATCH(A931,proveedores[Código],0)))</f>
        <v/>
      </c>
      <c r="E931" s="15" t="str">
        <f>IF(A931="","",IFERROR(INDEX(proveedores[Nivel de criticidad],MATCH(A931,proveedores[Código],0)),""))</f>
        <v/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5">
        <f t="shared" si="34"/>
        <v>100</v>
      </c>
      <c r="V931" s="12" t="str">
        <f t="shared" si="35"/>
        <v>Clase A++</v>
      </c>
    </row>
    <row r="932" spans="1:22" x14ac:dyDescent="0.2">
      <c r="A932" s="13"/>
      <c r="B932" s="14" t="str">
        <f>IF(A932="","",INDEX(proveedores[Proveedor],MATCH(A932,proveedores[Código],0)))</f>
        <v/>
      </c>
      <c r="C932" s="14" t="str">
        <f>IF(A932="","",INDEX(proveedores[Material],MATCH(A932,proveedores[Código],0)))</f>
        <v/>
      </c>
      <c r="D932" s="15" t="str">
        <f>IF(A932="","",INDEX(proveedores[Perfil],MATCH(A932,proveedores[Código],0)))</f>
        <v/>
      </c>
      <c r="E932" s="15" t="str">
        <f>IF(A932="","",IFERROR(INDEX(proveedores[Nivel de criticidad],MATCH(A932,proveedores[Código],0)),""))</f>
        <v/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5">
        <f t="shared" si="34"/>
        <v>100</v>
      </c>
      <c r="V932" s="12" t="str">
        <f t="shared" si="35"/>
        <v>Clase A++</v>
      </c>
    </row>
    <row r="933" spans="1:22" x14ac:dyDescent="0.2">
      <c r="A933" s="13"/>
      <c r="B933" s="14" t="str">
        <f>IF(A933="","",INDEX(proveedores[Proveedor],MATCH(A933,proveedores[Código],0)))</f>
        <v/>
      </c>
      <c r="C933" s="14" t="str">
        <f>IF(A933="","",INDEX(proveedores[Material],MATCH(A933,proveedores[Código],0)))</f>
        <v/>
      </c>
      <c r="D933" s="15" t="str">
        <f>IF(A933="","",INDEX(proveedores[Perfil],MATCH(A933,proveedores[Código],0)))</f>
        <v/>
      </c>
      <c r="E933" s="15" t="str">
        <f>IF(A933="","",IFERROR(INDEX(proveedores[Nivel de criticidad],MATCH(A933,proveedores[Código],0)),""))</f>
        <v/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5">
        <f t="shared" si="34"/>
        <v>100</v>
      </c>
      <c r="V933" s="12" t="str">
        <f t="shared" si="35"/>
        <v>Clase A++</v>
      </c>
    </row>
    <row r="934" spans="1:22" x14ac:dyDescent="0.2">
      <c r="A934" s="13"/>
      <c r="B934" s="14" t="str">
        <f>IF(A934="","",INDEX(proveedores[Proveedor],MATCH(A934,proveedores[Código],0)))</f>
        <v/>
      </c>
      <c r="C934" s="14" t="str">
        <f>IF(A934="","",INDEX(proveedores[Material],MATCH(A934,proveedores[Código],0)))</f>
        <v/>
      </c>
      <c r="D934" s="15" t="str">
        <f>IF(A934="","",INDEX(proveedores[Perfil],MATCH(A934,proveedores[Código],0)))</f>
        <v/>
      </c>
      <c r="E934" s="15" t="str">
        <f>IF(A934="","",IFERROR(INDEX(proveedores[Nivel de criticidad],MATCH(A934,proveedores[Código],0)),""))</f>
        <v/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5">
        <f t="shared" si="34"/>
        <v>100</v>
      </c>
      <c r="V934" s="12" t="str">
        <f t="shared" si="35"/>
        <v>Clase A++</v>
      </c>
    </row>
    <row r="935" spans="1:22" x14ac:dyDescent="0.2">
      <c r="A935" s="13"/>
      <c r="B935" s="14" t="str">
        <f>IF(A935="","",INDEX(proveedores[Proveedor],MATCH(A935,proveedores[Código],0)))</f>
        <v/>
      </c>
      <c r="C935" s="14" t="str">
        <f>IF(A935="","",INDEX(proveedores[Material],MATCH(A935,proveedores[Código],0)))</f>
        <v/>
      </c>
      <c r="D935" s="15" t="str">
        <f>IF(A935="","",INDEX(proveedores[Perfil],MATCH(A935,proveedores[Código],0)))</f>
        <v/>
      </c>
      <c r="E935" s="15" t="str">
        <f>IF(A935="","",IFERROR(INDEX(proveedores[Nivel de criticidad],MATCH(A935,proveedores[Código],0)),""))</f>
        <v/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5">
        <f t="shared" si="34"/>
        <v>100</v>
      </c>
      <c r="V935" s="12" t="str">
        <f t="shared" si="35"/>
        <v>Clase A++</v>
      </c>
    </row>
    <row r="936" spans="1:22" x14ac:dyDescent="0.2">
      <c r="A936" s="13"/>
      <c r="B936" s="14" t="str">
        <f>IF(A936="","",INDEX(proveedores[Proveedor],MATCH(A936,proveedores[Código],0)))</f>
        <v/>
      </c>
      <c r="C936" s="14" t="str">
        <f>IF(A936="","",INDEX(proveedores[Material],MATCH(A936,proveedores[Código],0)))</f>
        <v/>
      </c>
      <c r="D936" s="15" t="str">
        <f>IF(A936="","",INDEX(proveedores[Perfil],MATCH(A936,proveedores[Código],0)))</f>
        <v/>
      </c>
      <c r="E936" s="15" t="str">
        <f>IF(A936="","",IFERROR(INDEX(proveedores[Nivel de criticidad],MATCH(A936,proveedores[Código],0)),""))</f>
        <v/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5">
        <f t="shared" si="34"/>
        <v>100</v>
      </c>
      <c r="V936" s="12" t="str">
        <f t="shared" si="35"/>
        <v>Clase A++</v>
      </c>
    </row>
    <row r="937" spans="1:22" x14ac:dyDescent="0.2">
      <c r="A937" s="13"/>
      <c r="B937" s="14" t="str">
        <f>IF(A937="","",INDEX(proveedores[Proveedor],MATCH(A937,proveedores[Código],0)))</f>
        <v/>
      </c>
      <c r="C937" s="14" t="str">
        <f>IF(A937="","",INDEX(proveedores[Material],MATCH(A937,proveedores[Código],0)))</f>
        <v/>
      </c>
      <c r="D937" s="15" t="str">
        <f>IF(A937="","",INDEX(proveedores[Perfil],MATCH(A937,proveedores[Código],0)))</f>
        <v/>
      </c>
      <c r="E937" s="15" t="str">
        <f>IF(A937="","",IFERROR(INDEX(proveedores[Nivel de criticidad],MATCH(A937,proveedores[Código],0)),""))</f>
        <v/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5">
        <f t="shared" si="34"/>
        <v>100</v>
      </c>
      <c r="V937" s="12" t="str">
        <f t="shared" si="35"/>
        <v>Clase A++</v>
      </c>
    </row>
    <row r="938" spans="1:22" x14ac:dyDescent="0.2">
      <c r="A938" s="13"/>
      <c r="B938" s="14" t="str">
        <f>IF(A938="","",INDEX(proveedores[Proveedor],MATCH(A938,proveedores[Código],0)))</f>
        <v/>
      </c>
      <c r="C938" s="14" t="str">
        <f>IF(A938="","",INDEX(proveedores[Material],MATCH(A938,proveedores[Código],0)))</f>
        <v/>
      </c>
      <c r="D938" s="15" t="str">
        <f>IF(A938="","",INDEX(proveedores[Perfil],MATCH(A938,proveedores[Código],0)))</f>
        <v/>
      </c>
      <c r="E938" s="15" t="str">
        <f>IF(A938="","",IFERROR(INDEX(proveedores[Nivel de criticidad],MATCH(A938,proveedores[Código],0)),""))</f>
        <v/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5">
        <f t="shared" si="34"/>
        <v>100</v>
      </c>
      <c r="V938" s="12" t="str">
        <f t="shared" si="35"/>
        <v>Clase A++</v>
      </c>
    </row>
    <row r="939" spans="1:22" x14ac:dyDescent="0.2">
      <c r="A939" s="13"/>
      <c r="B939" s="14" t="str">
        <f>IF(A939="","",INDEX(proveedores[Proveedor],MATCH(A939,proveedores[Código],0)))</f>
        <v/>
      </c>
      <c r="C939" s="14" t="str">
        <f>IF(A939="","",INDEX(proveedores[Material],MATCH(A939,proveedores[Código],0)))</f>
        <v/>
      </c>
      <c r="D939" s="15" t="str">
        <f>IF(A939="","",INDEX(proveedores[Perfil],MATCH(A939,proveedores[Código],0)))</f>
        <v/>
      </c>
      <c r="E939" s="15" t="str">
        <f>IF(A939="","",IFERROR(INDEX(proveedores[Nivel de criticidad],MATCH(A939,proveedores[Código],0)),""))</f>
        <v/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5">
        <f t="shared" si="34"/>
        <v>100</v>
      </c>
      <c r="V939" s="12" t="str">
        <f t="shared" si="35"/>
        <v>Clase A++</v>
      </c>
    </row>
    <row r="940" spans="1:22" x14ac:dyDescent="0.2">
      <c r="A940" s="13"/>
      <c r="B940" s="14" t="str">
        <f>IF(A940="","",INDEX(proveedores[Proveedor],MATCH(A940,proveedores[Código],0)))</f>
        <v/>
      </c>
      <c r="C940" s="14" t="str">
        <f>IF(A940="","",INDEX(proveedores[Material],MATCH(A940,proveedores[Código],0)))</f>
        <v/>
      </c>
      <c r="D940" s="15" t="str">
        <f>IF(A940="","",INDEX(proveedores[Perfil],MATCH(A940,proveedores[Código],0)))</f>
        <v/>
      </c>
      <c r="E940" s="15" t="str">
        <f>IF(A940="","",IFERROR(INDEX(proveedores[Nivel de criticidad],MATCH(A940,proveedores[Código],0)),""))</f>
        <v/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5">
        <f t="shared" si="34"/>
        <v>100</v>
      </c>
      <c r="V940" s="12" t="str">
        <f t="shared" si="35"/>
        <v>Clase A++</v>
      </c>
    </row>
    <row r="941" spans="1:22" x14ac:dyDescent="0.2">
      <c r="A941" s="13"/>
      <c r="B941" s="14" t="str">
        <f>IF(A941="","",INDEX(proveedores[Proveedor],MATCH(A941,proveedores[Código],0)))</f>
        <v/>
      </c>
      <c r="C941" s="14" t="str">
        <f>IF(A941="","",INDEX(proveedores[Material],MATCH(A941,proveedores[Código],0)))</f>
        <v/>
      </c>
      <c r="D941" s="15" t="str">
        <f>IF(A941="","",INDEX(proveedores[Perfil],MATCH(A941,proveedores[Código],0)))</f>
        <v/>
      </c>
      <c r="E941" s="15" t="str">
        <f>IF(A941="","",IFERROR(INDEX(proveedores[Nivel de criticidad],MATCH(A941,proveedores[Código],0)),""))</f>
        <v/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5">
        <f t="shared" si="34"/>
        <v>100</v>
      </c>
      <c r="V941" s="12" t="str">
        <f t="shared" si="35"/>
        <v>Clase A++</v>
      </c>
    </row>
    <row r="942" spans="1:22" x14ac:dyDescent="0.2">
      <c r="A942" s="13"/>
      <c r="B942" s="14" t="str">
        <f>IF(A942="","",INDEX(proveedores[Proveedor],MATCH(A942,proveedores[Código],0)))</f>
        <v/>
      </c>
      <c r="C942" s="14" t="str">
        <f>IF(A942="","",INDEX(proveedores[Material],MATCH(A942,proveedores[Código],0)))</f>
        <v/>
      </c>
      <c r="D942" s="15" t="str">
        <f>IF(A942="","",INDEX(proveedores[Perfil],MATCH(A942,proveedores[Código],0)))</f>
        <v/>
      </c>
      <c r="E942" s="15" t="str">
        <f>IF(A942="","",IFERROR(INDEX(proveedores[Nivel de criticidad],MATCH(A942,proveedores[Código],0)),""))</f>
        <v/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5">
        <f t="shared" si="34"/>
        <v>100</v>
      </c>
      <c r="V942" s="12" t="str">
        <f t="shared" si="35"/>
        <v>Clase A++</v>
      </c>
    </row>
    <row r="943" spans="1:22" x14ac:dyDescent="0.2">
      <c r="A943" s="13"/>
      <c r="B943" s="14" t="str">
        <f>IF(A943="","",INDEX(proveedores[Proveedor],MATCH(A943,proveedores[Código],0)))</f>
        <v/>
      </c>
      <c r="C943" s="14" t="str">
        <f>IF(A943="","",INDEX(proveedores[Material],MATCH(A943,proveedores[Código],0)))</f>
        <v/>
      </c>
      <c r="D943" s="15" t="str">
        <f>IF(A943="","",INDEX(proveedores[Perfil],MATCH(A943,proveedores[Código],0)))</f>
        <v/>
      </c>
      <c r="E943" s="15" t="str">
        <f>IF(A943="","",IFERROR(INDEX(proveedores[Nivel de criticidad],MATCH(A943,proveedores[Código],0)),""))</f>
        <v/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5">
        <f t="shared" si="34"/>
        <v>100</v>
      </c>
      <c r="V943" s="12" t="str">
        <f t="shared" si="35"/>
        <v>Clase A++</v>
      </c>
    </row>
    <row r="944" spans="1:22" x14ac:dyDescent="0.2">
      <c r="A944" s="13"/>
      <c r="B944" s="14" t="str">
        <f>IF(A944="","",INDEX(proveedores[Proveedor],MATCH(A944,proveedores[Código],0)))</f>
        <v/>
      </c>
      <c r="C944" s="14" t="str">
        <f>IF(A944="","",INDEX(proveedores[Material],MATCH(A944,proveedores[Código],0)))</f>
        <v/>
      </c>
      <c r="D944" s="15" t="str">
        <f>IF(A944="","",INDEX(proveedores[Perfil],MATCH(A944,proveedores[Código],0)))</f>
        <v/>
      </c>
      <c r="E944" s="15" t="str">
        <f>IF(A944="","",IFERROR(INDEX(proveedores[Nivel de criticidad],MATCH(A944,proveedores[Código],0)),""))</f>
        <v/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5">
        <f t="shared" si="34"/>
        <v>100</v>
      </c>
      <c r="V944" s="12" t="str">
        <f t="shared" si="35"/>
        <v>Clase A++</v>
      </c>
    </row>
    <row r="945" spans="1:22" x14ac:dyDescent="0.2">
      <c r="A945" s="13"/>
      <c r="B945" s="14" t="str">
        <f>IF(A945="","",INDEX(proveedores[Proveedor],MATCH(A945,proveedores[Código],0)))</f>
        <v/>
      </c>
      <c r="C945" s="14" t="str">
        <f>IF(A945="","",INDEX(proveedores[Material],MATCH(A945,proveedores[Código],0)))</f>
        <v/>
      </c>
      <c r="D945" s="15" t="str">
        <f>IF(A945="","",INDEX(proveedores[Perfil],MATCH(A945,proveedores[Código],0)))</f>
        <v/>
      </c>
      <c r="E945" s="15" t="str">
        <f>IF(A945="","",IFERROR(INDEX(proveedores[Nivel de criticidad],MATCH(A945,proveedores[Código],0)),""))</f>
        <v/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5">
        <f t="shared" si="34"/>
        <v>100</v>
      </c>
      <c r="V945" s="12" t="str">
        <f t="shared" si="35"/>
        <v>Clase A++</v>
      </c>
    </row>
    <row r="946" spans="1:22" x14ac:dyDescent="0.2">
      <c r="A946" s="13"/>
      <c r="B946" s="14" t="str">
        <f>IF(A946="","",INDEX(proveedores[Proveedor],MATCH(A946,proveedores[Código],0)))</f>
        <v/>
      </c>
      <c r="C946" s="14" t="str">
        <f>IF(A946="","",INDEX(proveedores[Material],MATCH(A946,proveedores[Código],0)))</f>
        <v/>
      </c>
      <c r="D946" s="15" t="str">
        <f>IF(A946="","",INDEX(proveedores[Perfil],MATCH(A946,proveedores[Código],0)))</f>
        <v/>
      </c>
      <c r="E946" s="15" t="str">
        <f>IF(A946="","",IFERROR(INDEX(proveedores[Nivel de criticidad],MATCH(A946,proveedores[Código],0)),""))</f>
        <v/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5">
        <f t="shared" si="34"/>
        <v>100</v>
      </c>
      <c r="V946" s="12" t="str">
        <f t="shared" si="35"/>
        <v>Clase A++</v>
      </c>
    </row>
    <row r="947" spans="1:22" x14ac:dyDescent="0.2">
      <c r="A947" s="13"/>
      <c r="B947" s="14" t="str">
        <f>IF(A947="","",INDEX(proveedores[Proveedor],MATCH(A947,proveedores[Código],0)))</f>
        <v/>
      </c>
      <c r="C947" s="14" t="str">
        <f>IF(A947="","",INDEX(proveedores[Material],MATCH(A947,proveedores[Código],0)))</f>
        <v/>
      </c>
      <c r="D947" s="15" t="str">
        <f>IF(A947="","",INDEX(proveedores[Perfil],MATCH(A947,proveedores[Código],0)))</f>
        <v/>
      </c>
      <c r="E947" s="15" t="str">
        <f>IF(A947="","",IFERROR(INDEX(proveedores[Nivel de criticidad],MATCH(A947,proveedores[Código],0)),""))</f>
        <v/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5">
        <f t="shared" si="34"/>
        <v>100</v>
      </c>
      <c r="V947" s="12" t="str">
        <f t="shared" si="35"/>
        <v>Clase A++</v>
      </c>
    </row>
    <row r="948" spans="1:22" x14ac:dyDescent="0.2">
      <c r="A948" s="13"/>
      <c r="B948" s="14" t="str">
        <f>IF(A948="","",INDEX(proveedores[Proveedor],MATCH(A948,proveedores[Código],0)))</f>
        <v/>
      </c>
      <c r="C948" s="14" t="str">
        <f>IF(A948="","",INDEX(proveedores[Material],MATCH(A948,proveedores[Código],0)))</f>
        <v/>
      </c>
      <c r="D948" s="15" t="str">
        <f>IF(A948="","",INDEX(proveedores[Perfil],MATCH(A948,proveedores[Código],0)))</f>
        <v/>
      </c>
      <c r="E948" s="15" t="str">
        <f>IF(A948="","",IFERROR(INDEX(proveedores[Nivel de criticidad],MATCH(A948,proveedores[Código],0)),""))</f>
        <v/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5">
        <f t="shared" si="34"/>
        <v>100</v>
      </c>
      <c r="V948" s="12" t="str">
        <f t="shared" si="35"/>
        <v>Clase A++</v>
      </c>
    </row>
    <row r="949" spans="1:22" x14ac:dyDescent="0.2">
      <c r="A949" s="13"/>
      <c r="B949" s="14" t="str">
        <f>IF(A949="","",INDEX(proveedores[Proveedor],MATCH(A949,proveedores[Código],0)))</f>
        <v/>
      </c>
      <c r="C949" s="14" t="str">
        <f>IF(A949="","",INDEX(proveedores[Material],MATCH(A949,proveedores[Código],0)))</f>
        <v/>
      </c>
      <c r="D949" s="15" t="str">
        <f>IF(A949="","",INDEX(proveedores[Perfil],MATCH(A949,proveedores[Código],0)))</f>
        <v/>
      </c>
      <c r="E949" s="15" t="str">
        <f>IF(A949="","",IFERROR(INDEX(proveedores[Nivel de criticidad],MATCH(A949,proveedores[Código],0)),""))</f>
        <v/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5">
        <f t="shared" si="34"/>
        <v>100</v>
      </c>
      <c r="V949" s="12" t="str">
        <f t="shared" si="35"/>
        <v>Clase A++</v>
      </c>
    </row>
    <row r="950" spans="1:22" x14ac:dyDescent="0.2">
      <c r="A950" s="13"/>
      <c r="B950" s="14" t="str">
        <f>IF(A950="","",INDEX(proveedores[Proveedor],MATCH(A950,proveedores[Código],0)))</f>
        <v/>
      </c>
      <c r="C950" s="14" t="str">
        <f>IF(A950="","",INDEX(proveedores[Material],MATCH(A950,proveedores[Código],0)))</f>
        <v/>
      </c>
      <c r="D950" s="15" t="str">
        <f>IF(A950="","",INDEX(proveedores[Perfil],MATCH(A950,proveedores[Código],0)))</f>
        <v/>
      </c>
      <c r="E950" s="15" t="str">
        <f>IF(A950="","",IFERROR(INDEX(proveedores[Nivel de criticidad],MATCH(A950,proveedores[Código],0)),""))</f>
        <v/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5">
        <f t="shared" si="34"/>
        <v>100</v>
      </c>
      <c r="V950" s="12" t="str">
        <f t="shared" si="35"/>
        <v>Clase A++</v>
      </c>
    </row>
    <row r="951" spans="1:22" x14ac:dyDescent="0.2">
      <c r="A951" s="13"/>
      <c r="B951" s="14" t="str">
        <f>IF(A951="","",INDEX(proveedores[Proveedor],MATCH(A951,proveedores[Código],0)))</f>
        <v/>
      </c>
      <c r="C951" s="14" t="str">
        <f>IF(A951="","",INDEX(proveedores[Material],MATCH(A951,proveedores[Código],0)))</f>
        <v/>
      </c>
      <c r="D951" s="15" t="str">
        <f>IF(A951="","",INDEX(proveedores[Perfil],MATCH(A951,proveedores[Código],0)))</f>
        <v/>
      </c>
      <c r="E951" s="15" t="str">
        <f>IF(A951="","",IFERROR(INDEX(proveedores[Nivel de criticidad],MATCH(A951,proveedores[Código],0)),""))</f>
        <v/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5">
        <f t="shared" si="34"/>
        <v>100</v>
      </c>
      <c r="V951" s="12" t="str">
        <f t="shared" si="35"/>
        <v>Clase A++</v>
      </c>
    </row>
    <row r="952" spans="1:22" x14ac:dyDescent="0.2">
      <c r="A952" s="13"/>
      <c r="B952" s="14" t="str">
        <f>IF(A952="","",INDEX(proveedores[Proveedor],MATCH(A952,proveedores[Código],0)))</f>
        <v/>
      </c>
      <c r="C952" s="14" t="str">
        <f>IF(A952="","",INDEX(proveedores[Material],MATCH(A952,proveedores[Código],0)))</f>
        <v/>
      </c>
      <c r="D952" s="15" t="str">
        <f>IF(A952="","",INDEX(proveedores[Perfil],MATCH(A952,proveedores[Código],0)))</f>
        <v/>
      </c>
      <c r="E952" s="15" t="str">
        <f>IF(A952="","",IFERROR(INDEX(proveedores[Nivel de criticidad],MATCH(A952,proveedores[Código],0)),""))</f>
        <v/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5">
        <f t="shared" si="34"/>
        <v>100</v>
      </c>
      <c r="V952" s="12" t="str">
        <f t="shared" si="35"/>
        <v>Clase A++</v>
      </c>
    </row>
    <row r="953" spans="1:22" x14ac:dyDescent="0.2">
      <c r="A953" s="13"/>
      <c r="B953" s="14" t="str">
        <f>IF(A953="","",INDEX(proveedores[Proveedor],MATCH(A953,proveedores[Código],0)))</f>
        <v/>
      </c>
      <c r="C953" s="14" t="str">
        <f>IF(A953="","",INDEX(proveedores[Material],MATCH(A953,proveedores[Código],0)))</f>
        <v/>
      </c>
      <c r="D953" s="15" t="str">
        <f>IF(A953="","",INDEX(proveedores[Perfil],MATCH(A953,proveedores[Código],0)))</f>
        <v/>
      </c>
      <c r="E953" s="15" t="str">
        <f>IF(A953="","",IFERROR(INDEX(proveedores[Nivel de criticidad],MATCH(A953,proveedores[Código],0)),""))</f>
        <v/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5">
        <f t="shared" si="34"/>
        <v>100</v>
      </c>
      <c r="V953" s="12" t="str">
        <f t="shared" si="35"/>
        <v>Clase A++</v>
      </c>
    </row>
    <row r="954" spans="1:22" x14ac:dyDescent="0.2">
      <c r="A954" s="13"/>
      <c r="B954" s="14" t="str">
        <f>IF(A954="","",INDEX(proveedores[Proveedor],MATCH(A954,proveedores[Código],0)))</f>
        <v/>
      </c>
      <c r="C954" s="14" t="str">
        <f>IF(A954="","",INDEX(proveedores[Material],MATCH(A954,proveedores[Código],0)))</f>
        <v/>
      </c>
      <c r="D954" s="15" t="str">
        <f>IF(A954="","",INDEX(proveedores[Perfil],MATCH(A954,proveedores[Código],0)))</f>
        <v/>
      </c>
      <c r="E954" s="15" t="str">
        <f>IF(A954="","",IFERROR(INDEX(proveedores[Nivel de criticidad],MATCH(A954,proveedores[Código],0)),""))</f>
        <v/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5">
        <f t="shared" si="34"/>
        <v>100</v>
      </c>
      <c r="V954" s="12" t="str">
        <f t="shared" si="35"/>
        <v>Clase A++</v>
      </c>
    </row>
    <row r="955" spans="1:22" x14ac:dyDescent="0.2">
      <c r="A955" s="13"/>
      <c r="B955" s="14" t="str">
        <f>IF(A955="","",INDEX(proveedores[Proveedor],MATCH(A955,proveedores[Código],0)))</f>
        <v/>
      </c>
      <c r="C955" s="14" t="str">
        <f>IF(A955="","",INDEX(proveedores[Material],MATCH(A955,proveedores[Código],0)))</f>
        <v/>
      </c>
      <c r="D955" s="15" t="str">
        <f>IF(A955="","",INDEX(proveedores[Perfil],MATCH(A955,proveedores[Código],0)))</f>
        <v/>
      </c>
      <c r="E955" s="15" t="str">
        <f>IF(A955="","",IFERROR(INDEX(proveedores[Nivel de criticidad],MATCH(A955,proveedores[Código],0)),""))</f>
        <v/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5">
        <f t="shared" si="34"/>
        <v>100</v>
      </c>
      <c r="V955" s="12" t="str">
        <f t="shared" si="35"/>
        <v>Clase A++</v>
      </c>
    </row>
    <row r="956" spans="1:22" x14ac:dyDescent="0.2">
      <c r="A956" s="13"/>
      <c r="B956" s="14" t="str">
        <f>IF(A956="","",INDEX(proveedores[Proveedor],MATCH(A956,proveedores[Código],0)))</f>
        <v/>
      </c>
      <c r="C956" s="14" t="str">
        <f>IF(A956="","",INDEX(proveedores[Material],MATCH(A956,proveedores[Código],0)))</f>
        <v/>
      </c>
      <c r="D956" s="15" t="str">
        <f>IF(A956="","",INDEX(proveedores[Perfil],MATCH(A956,proveedores[Código],0)))</f>
        <v/>
      </c>
      <c r="E956" s="15" t="str">
        <f>IF(A956="","",IFERROR(INDEX(proveedores[Nivel de criticidad],MATCH(A956,proveedores[Código],0)),""))</f>
        <v/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5">
        <f t="shared" si="34"/>
        <v>100</v>
      </c>
      <c r="V956" s="12" t="str">
        <f t="shared" si="35"/>
        <v>Clase A++</v>
      </c>
    </row>
    <row r="957" spans="1:22" x14ac:dyDescent="0.2">
      <c r="A957" s="13"/>
      <c r="B957" s="14" t="str">
        <f>IF(A957="","",INDEX(proveedores[Proveedor],MATCH(A957,proveedores[Código],0)))</f>
        <v/>
      </c>
      <c r="C957" s="14" t="str">
        <f>IF(A957="","",INDEX(proveedores[Material],MATCH(A957,proveedores[Código],0)))</f>
        <v/>
      </c>
      <c r="D957" s="15" t="str">
        <f>IF(A957="","",INDEX(proveedores[Perfil],MATCH(A957,proveedores[Código],0)))</f>
        <v/>
      </c>
      <c r="E957" s="15" t="str">
        <f>IF(A957="","",IFERROR(INDEX(proveedores[Nivel de criticidad],MATCH(A957,proveedores[Código],0)),""))</f>
        <v/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5">
        <f t="shared" si="34"/>
        <v>100</v>
      </c>
      <c r="V957" s="12" t="str">
        <f t="shared" si="35"/>
        <v>Clase A++</v>
      </c>
    </row>
    <row r="958" spans="1:22" x14ac:dyDescent="0.2">
      <c r="A958" s="13"/>
      <c r="B958" s="14" t="str">
        <f>IF(A958="","",INDEX(proveedores[Proveedor],MATCH(A958,proveedores[Código],0)))</f>
        <v/>
      </c>
      <c r="C958" s="14" t="str">
        <f>IF(A958="","",INDEX(proveedores[Material],MATCH(A958,proveedores[Código],0)))</f>
        <v/>
      </c>
      <c r="D958" s="15" t="str">
        <f>IF(A958="","",INDEX(proveedores[Perfil],MATCH(A958,proveedores[Código],0)))</f>
        <v/>
      </c>
      <c r="E958" s="15" t="str">
        <f>IF(A958="","",IFERROR(INDEX(proveedores[Nivel de criticidad],MATCH(A958,proveedores[Código],0)),""))</f>
        <v/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5">
        <f t="shared" si="34"/>
        <v>100</v>
      </c>
      <c r="V958" s="12" t="str">
        <f t="shared" si="35"/>
        <v>Clase A++</v>
      </c>
    </row>
    <row r="959" spans="1:22" x14ac:dyDescent="0.2">
      <c r="A959" s="13"/>
      <c r="B959" s="14" t="str">
        <f>IF(A959="","",INDEX(proveedores[Proveedor],MATCH(A959,proveedores[Código],0)))</f>
        <v/>
      </c>
      <c r="C959" s="14" t="str">
        <f>IF(A959="","",INDEX(proveedores[Material],MATCH(A959,proveedores[Código],0)))</f>
        <v/>
      </c>
      <c r="D959" s="15" t="str">
        <f>IF(A959="","",INDEX(proveedores[Perfil],MATCH(A959,proveedores[Código],0)))</f>
        <v/>
      </c>
      <c r="E959" s="15" t="str">
        <f>IF(A959="","",IFERROR(INDEX(proveedores[Nivel de criticidad],MATCH(A959,proveedores[Código],0)),""))</f>
        <v/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5">
        <f t="shared" si="34"/>
        <v>100</v>
      </c>
      <c r="V959" s="12" t="str">
        <f t="shared" si="35"/>
        <v>Clase A++</v>
      </c>
    </row>
    <row r="960" spans="1:22" x14ac:dyDescent="0.2">
      <c r="A960" s="13"/>
      <c r="B960" s="14" t="str">
        <f>IF(A960="","",INDEX(proveedores[Proveedor],MATCH(A960,proveedores[Código],0)))</f>
        <v/>
      </c>
      <c r="C960" s="14" t="str">
        <f>IF(A960="","",INDEX(proveedores[Material],MATCH(A960,proveedores[Código],0)))</f>
        <v/>
      </c>
      <c r="D960" s="15" t="str">
        <f>IF(A960="","",INDEX(proveedores[Perfil],MATCH(A960,proveedores[Código],0)))</f>
        <v/>
      </c>
      <c r="E960" s="15" t="str">
        <f>IF(A960="","",IFERROR(INDEX(proveedores[Nivel de criticidad],MATCH(A960,proveedores[Código],0)),""))</f>
        <v/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5">
        <f t="shared" si="34"/>
        <v>100</v>
      </c>
      <c r="V960" s="12" t="str">
        <f t="shared" si="35"/>
        <v>Clase A++</v>
      </c>
    </row>
    <row r="961" spans="1:22" x14ac:dyDescent="0.2">
      <c r="A961" s="13"/>
      <c r="B961" s="14" t="str">
        <f>IF(A961="","",INDEX(proveedores[Proveedor],MATCH(A961,proveedores[Código],0)))</f>
        <v/>
      </c>
      <c r="C961" s="14" t="str">
        <f>IF(A961="","",INDEX(proveedores[Material],MATCH(A961,proveedores[Código],0)))</f>
        <v/>
      </c>
      <c r="D961" s="15" t="str">
        <f>IF(A961="","",INDEX(proveedores[Perfil],MATCH(A961,proveedores[Código],0)))</f>
        <v/>
      </c>
      <c r="E961" s="15" t="str">
        <f>IF(A961="","",IFERROR(INDEX(proveedores[Nivel de criticidad],MATCH(A961,proveedores[Código],0)),""))</f>
        <v/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5">
        <f t="shared" si="34"/>
        <v>100</v>
      </c>
      <c r="V961" s="12" t="str">
        <f t="shared" si="35"/>
        <v>Clase A++</v>
      </c>
    </row>
    <row r="962" spans="1:22" x14ac:dyDescent="0.2">
      <c r="A962" s="13"/>
      <c r="B962" s="14" t="str">
        <f>IF(A962="","",INDEX(proveedores[Proveedor],MATCH(A962,proveedores[Código],0)))</f>
        <v/>
      </c>
      <c r="C962" s="14" t="str">
        <f>IF(A962="","",INDEX(proveedores[Material],MATCH(A962,proveedores[Código],0)))</f>
        <v/>
      </c>
      <c r="D962" s="15" t="str">
        <f>IF(A962="","",INDEX(proveedores[Perfil],MATCH(A962,proveedores[Código],0)))</f>
        <v/>
      </c>
      <c r="E962" s="15" t="str">
        <f>IF(A962="","",IFERROR(INDEX(proveedores[Nivel de criticidad],MATCH(A962,proveedores[Código],0)),""))</f>
        <v/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5">
        <f t="shared" si="34"/>
        <v>100</v>
      </c>
      <c r="V962" s="12" t="str">
        <f t="shared" si="35"/>
        <v>Clase A++</v>
      </c>
    </row>
    <row r="963" spans="1:22" x14ac:dyDescent="0.2">
      <c r="A963" s="13"/>
      <c r="B963" s="14" t="str">
        <f>IF(A963="","",INDEX(proveedores[Proveedor],MATCH(A963,proveedores[Código],0)))</f>
        <v/>
      </c>
      <c r="C963" s="14" t="str">
        <f>IF(A963="","",INDEX(proveedores[Material],MATCH(A963,proveedores[Código],0)))</f>
        <v/>
      </c>
      <c r="D963" s="15" t="str">
        <f>IF(A963="","",INDEX(proveedores[Perfil],MATCH(A963,proveedores[Código],0)))</f>
        <v/>
      </c>
      <c r="E963" s="15" t="str">
        <f>IF(A963="","",IFERROR(INDEX(proveedores[Nivel de criticidad],MATCH(A963,proveedores[Código],0)),""))</f>
        <v/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5">
        <f t="shared" si="34"/>
        <v>100</v>
      </c>
      <c r="V963" s="12" t="str">
        <f t="shared" si="35"/>
        <v>Clase A++</v>
      </c>
    </row>
    <row r="964" spans="1:22" x14ac:dyDescent="0.2">
      <c r="A964" s="13"/>
      <c r="B964" s="14" t="str">
        <f>IF(A964="","",INDEX(proveedores[Proveedor],MATCH(A964,proveedores[Código],0)))</f>
        <v/>
      </c>
      <c r="C964" s="14" t="str">
        <f>IF(A964="","",INDEX(proveedores[Material],MATCH(A964,proveedores[Código],0)))</f>
        <v/>
      </c>
      <c r="D964" s="15" t="str">
        <f>IF(A964="","",INDEX(proveedores[Perfil],MATCH(A964,proveedores[Código],0)))</f>
        <v/>
      </c>
      <c r="E964" s="15" t="str">
        <f>IF(A964="","",IFERROR(INDEX(proveedores[Nivel de criticidad],MATCH(A964,proveedores[Código],0)),""))</f>
        <v/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5">
        <f t="shared" si="34"/>
        <v>100</v>
      </c>
      <c r="V964" s="12" t="str">
        <f t="shared" si="35"/>
        <v>Clase A++</v>
      </c>
    </row>
    <row r="965" spans="1:22" x14ac:dyDescent="0.2">
      <c r="A965" s="13"/>
      <c r="B965" s="14" t="str">
        <f>IF(A965="","",INDEX(proveedores[Proveedor],MATCH(A965,proveedores[Código],0)))</f>
        <v/>
      </c>
      <c r="C965" s="14" t="str">
        <f>IF(A965="","",INDEX(proveedores[Material],MATCH(A965,proveedores[Código],0)))</f>
        <v/>
      </c>
      <c r="D965" s="15" t="str">
        <f>IF(A965="","",INDEX(proveedores[Perfil],MATCH(A965,proveedores[Código],0)))</f>
        <v/>
      </c>
      <c r="E965" s="15" t="str">
        <f>IF(A965="","",IFERROR(INDEX(proveedores[Nivel de criticidad],MATCH(A965,proveedores[Código],0)),""))</f>
        <v/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5">
        <f t="shared" si="34"/>
        <v>100</v>
      </c>
      <c r="V965" s="12" t="str">
        <f t="shared" si="35"/>
        <v>Clase A++</v>
      </c>
    </row>
    <row r="966" spans="1:22" x14ac:dyDescent="0.2">
      <c r="A966" s="13"/>
      <c r="B966" s="14" t="str">
        <f>IF(A966="","",INDEX(proveedores[Proveedor],MATCH(A966,proveedores[Código],0)))</f>
        <v/>
      </c>
      <c r="C966" s="14" t="str">
        <f>IF(A966="","",INDEX(proveedores[Material],MATCH(A966,proveedores[Código],0)))</f>
        <v/>
      </c>
      <c r="D966" s="15" t="str">
        <f>IF(A966="","",INDEX(proveedores[Perfil],MATCH(A966,proveedores[Código],0)))</f>
        <v/>
      </c>
      <c r="E966" s="15" t="str">
        <f>IF(A966="","",IFERROR(INDEX(proveedores[Nivel de criticidad],MATCH(A966,proveedores[Código],0)),""))</f>
        <v/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5">
        <f t="shared" ref="U966:U974" si="36">IF(D966="Internacional", MIN(IF(((F966*10)+(G966*3)+(H966*4)+(I966*5)+(J966*8)+(O966*5)+(P966*2)+IF(L966="N/A",0,(L966*10)+(M966*5)+(N966*3)))&gt;0,98,100), ((MAX(0, 30 - (F966*10) - (G966*3))/30)*45) + ((MAX(0, 25 - (H966*4) - (I966*5) - (J966*8) - (K966*5))/25)*35) + ((MAX(0, 15 - (O966*5) - (P966*2))/15)*20) + (IF(Q966="N/A",0,Q966)*2.5) + (IF(R966="N/A",0,R966)*2.5) + (IF(S966="N/A",0,S966)*2.5) + (IF(T966="N/A",0,T966)*2.5)), IF(D966="Local Insumos", MIN(IF(((F966*10)+(G966*3)+(H966*4)+(I966*5)+(J966*8)+(O966*5)+(P966*2)+IF(L966="N/A",0,(L966*10)+(M966*5)+(N966*3)))&gt;0,98,100), ((MAX(0, 30 - (F966*10) - (G966*3))/30)*35) + ((MAX(0, 25 - (H966*4) - (I966*5) - (J966*8) - (K966*5))/25)*30) + MAX(0, 20 - (L966*10) - (M966*5) - (N966*3)) + MAX(0, 15 - (O966*5) - (P966*2)) + (IF(Q966="N/A",0,Q966)*2.5) + (IF(R966="N/A",0,R966)*2.5) + (IF(S966="N/A",0,S966)*2.5) + (IF(T966="N/A",0,T966)*2.5)), MIN(IF(((F966*10)+(G966*3)+(H966*4)+(I966*5)+(J966*8)+(O966*5)+(P966*2)+IF(L966="N/A",0,(L966*10)+(M966*5)+(N966*3)))&gt;0,98,100), ((MAX(0, 25 - (H966*4) - (I966*5) - (J966*8) - (K966*5))/25)*55) + ((MAX(0, 20 - (L966*10) - (M966*5) - (N966*3))/20)*30) + ((MAX(0, 15 - (O966*5) - (P966*2))/15)*15))))</f>
        <v>100</v>
      </c>
      <c r="V966" s="12" t="str">
        <f t="shared" si="35"/>
        <v>Clase A++</v>
      </c>
    </row>
    <row r="967" spans="1:22" x14ac:dyDescent="0.2">
      <c r="A967" s="13"/>
      <c r="B967" s="14" t="str">
        <f>IF(A967="","",INDEX(proveedores[Proveedor],MATCH(A967,proveedores[Código],0)))</f>
        <v/>
      </c>
      <c r="C967" s="14" t="str">
        <f>IF(A967="","",INDEX(proveedores[Material],MATCH(A967,proveedores[Código],0)))</f>
        <v/>
      </c>
      <c r="D967" s="15" t="str">
        <f>IF(A967="","",INDEX(proveedores[Perfil],MATCH(A967,proveedores[Código],0)))</f>
        <v/>
      </c>
      <c r="E967" s="15" t="str">
        <f>IF(A967="","",IFERROR(INDEX(proveedores[Nivel de criticidad],MATCH(A967,proveedores[Código],0)),""))</f>
        <v/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5">
        <f t="shared" si="36"/>
        <v>100</v>
      </c>
      <c r="V967" s="12" t="str">
        <f t="shared" ref="V967:V974" si="37">IF(U967&gt;=96, "Clase A++", IF(U967&gt;=85, "Clase A", IF(U967&gt;=70, "Clase B", "Clase C")))</f>
        <v>Clase A++</v>
      </c>
    </row>
    <row r="968" spans="1:22" x14ac:dyDescent="0.2">
      <c r="A968" s="13"/>
      <c r="B968" s="14" t="str">
        <f>IF(A968="","",INDEX(proveedores[Proveedor],MATCH(A968,proveedores[Código],0)))</f>
        <v/>
      </c>
      <c r="C968" s="14" t="str">
        <f>IF(A968="","",INDEX(proveedores[Material],MATCH(A968,proveedores[Código],0)))</f>
        <v/>
      </c>
      <c r="D968" s="15" t="str">
        <f>IF(A968="","",INDEX(proveedores[Perfil],MATCH(A968,proveedores[Código],0)))</f>
        <v/>
      </c>
      <c r="E968" s="15" t="str">
        <f>IF(A968="","",IFERROR(INDEX(proveedores[Nivel de criticidad],MATCH(A968,proveedores[Código],0)),""))</f>
        <v/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5">
        <f t="shared" si="36"/>
        <v>100</v>
      </c>
      <c r="V968" s="12" t="str">
        <f t="shared" si="37"/>
        <v>Clase A++</v>
      </c>
    </row>
    <row r="969" spans="1:22" x14ac:dyDescent="0.2">
      <c r="A969" s="13"/>
      <c r="B969" s="14" t="str">
        <f>IF(A969="","",INDEX(proveedores[Proveedor],MATCH(A969,proveedores[Código],0)))</f>
        <v/>
      </c>
      <c r="C969" s="14" t="str">
        <f>IF(A969="","",INDEX(proveedores[Material],MATCH(A969,proveedores[Código],0)))</f>
        <v/>
      </c>
      <c r="D969" s="15" t="str">
        <f>IF(A969="","",INDEX(proveedores[Perfil],MATCH(A969,proveedores[Código],0)))</f>
        <v/>
      </c>
      <c r="E969" s="15" t="str">
        <f>IF(A969="","",IFERROR(INDEX(proveedores[Nivel de criticidad],MATCH(A969,proveedores[Código],0)),""))</f>
        <v/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5">
        <f t="shared" si="36"/>
        <v>100</v>
      </c>
      <c r="V969" s="12" t="str">
        <f t="shared" si="37"/>
        <v>Clase A++</v>
      </c>
    </row>
    <row r="970" spans="1:22" x14ac:dyDescent="0.2">
      <c r="A970" s="13"/>
      <c r="B970" s="14" t="str">
        <f>IF(A970="","",INDEX(proveedores[Proveedor],MATCH(A970,proveedores[Código],0)))</f>
        <v/>
      </c>
      <c r="C970" s="14" t="str">
        <f>IF(A970="","",INDEX(proveedores[Material],MATCH(A970,proveedores[Código],0)))</f>
        <v/>
      </c>
      <c r="D970" s="15" t="str">
        <f>IF(A970="","",INDEX(proveedores[Perfil],MATCH(A970,proveedores[Código],0)))</f>
        <v/>
      </c>
      <c r="E970" s="15" t="str">
        <f>IF(A970="","",IFERROR(INDEX(proveedores[Nivel de criticidad],MATCH(A970,proveedores[Código],0)),""))</f>
        <v/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5">
        <f t="shared" si="36"/>
        <v>100</v>
      </c>
      <c r="V970" s="12" t="str">
        <f t="shared" si="37"/>
        <v>Clase A++</v>
      </c>
    </row>
    <row r="971" spans="1:22" x14ac:dyDescent="0.2">
      <c r="A971" s="13"/>
      <c r="B971" s="14" t="str">
        <f>IF(A971="","",INDEX(proveedores[Proveedor],MATCH(A971,proveedores[Código],0)))</f>
        <v/>
      </c>
      <c r="C971" s="14" t="str">
        <f>IF(A971="","",INDEX(proveedores[Material],MATCH(A971,proveedores[Código],0)))</f>
        <v/>
      </c>
      <c r="D971" s="15" t="str">
        <f>IF(A971="","",INDEX(proveedores[Perfil],MATCH(A971,proveedores[Código],0)))</f>
        <v/>
      </c>
      <c r="E971" s="15" t="str">
        <f>IF(A971="","",IFERROR(INDEX(proveedores[Nivel de criticidad],MATCH(A971,proveedores[Código],0)),""))</f>
        <v/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5">
        <f t="shared" si="36"/>
        <v>100</v>
      </c>
      <c r="V971" s="12" t="str">
        <f t="shared" si="37"/>
        <v>Clase A++</v>
      </c>
    </row>
    <row r="972" spans="1:22" x14ac:dyDescent="0.2">
      <c r="A972" s="13"/>
      <c r="B972" s="14" t="str">
        <f>IF(A972="","",INDEX(proveedores[Proveedor],MATCH(A972,proveedores[Código],0)))</f>
        <v/>
      </c>
      <c r="C972" s="14" t="str">
        <f>IF(A972="","",INDEX(proveedores[Material],MATCH(A972,proveedores[Código],0)))</f>
        <v/>
      </c>
      <c r="D972" s="15" t="str">
        <f>IF(A972="","",INDEX(proveedores[Perfil],MATCH(A972,proveedores[Código],0)))</f>
        <v/>
      </c>
      <c r="E972" s="15" t="str">
        <f>IF(A972="","",IFERROR(INDEX(proveedores[Nivel de criticidad],MATCH(A972,proveedores[Código],0)),""))</f>
        <v/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5">
        <f t="shared" si="36"/>
        <v>100</v>
      </c>
      <c r="V972" s="12" t="str">
        <f t="shared" si="37"/>
        <v>Clase A++</v>
      </c>
    </row>
    <row r="973" spans="1:22" x14ac:dyDescent="0.2">
      <c r="A973" s="13"/>
      <c r="B973" s="14" t="str">
        <f>IF(A973="","",INDEX(proveedores[Proveedor],MATCH(A973,proveedores[Código],0)))</f>
        <v/>
      </c>
      <c r="C973" s="14" t="str">
        <f>IF(A973="","",INDEX(proveedores[Material],MATCH(A973,proveedores[Código],0)))</f>
        <v/>
      </c>
      <c r="D973" s="15" t="str">
        <f>IF(A973="","",INDEX(proveedores[Perfil],MATCH(A973,proveedores[Código],0)))</f>
        <v/>
      </c>
      <c r="E973" s="15" t="str">
        <f>IF(A973="","",IFERROR(INDEX(proveedores[Nivel de criticidad],MATCH(A973,proveedores[Código],0)),""))</f>
        <v/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5">
        <f t="shared" si="36"/>
        <v>100</v>
      </c>
      <c r="V973" s="12" t="str">
        <f t="shared" si="37"/>
        <v>Clase A++</v>
      </c>
    </row>
    <row r="974" spans="1:22" x14ac:dyDescent="0.2">
      <c r="A974" s="13"/>
      <c r="B974" s="14" t="str">
        <f>IF(A974="","",INDEX(proveedores[Proveedor],MATCH(A974,proveedores[Código],0)))</f>
        <v/>
      </c>
      <c r="C974" s="14" t="str">
        <f>IF(A974="","",INDEX(proveedores[Material],MATCH(A974,proveedores[Código],0)))</f>
        <v/>
      </c>
      <c r="D974" s="15" t="str">
        <f>IF(A974="","",INDEX(proveedores[Perfil],MATCH(A974,proveedores[Código],0)))</f>
        <v/>
      </c>
      <c r="E974" s="15" t="str">
        <f>IF(A974="","",IFERROR(INDEX(proveedores[Nivel de criticidad],MATCH(A974,proveedores[Código],0)),""))</f>
        <v/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5">
        <f t="shared" si="36"/>
        <v>100</v>
      </c>
      <c r="V974" s="12" t="str">
        <f t="shared" si="37"/>
        <v>Clase A++</v>
      </c>
    </row>
  </sheetData>
  <sortState xmlns:xlrd2="http://schemas.microsoft.com/office/spreadsheetml/2017/richdata2" ref="A6:V158">
    <sortCondition ref="A6:A158"/>
  </sortState>
  <mergeCells count="5">
    <mergeCell ref="F4:G4"/>
    <mergeCell ref="H4:K4"/>
    <mergeCell ref="L4:N4"/>
    <mergeCell ref="O4:P4"/>
    <mergeCell ref="Q4:T4"/>
  </mergeCells>
  <conditionalFormatting sqref="F6:G1048576">
    <cfRule type="expression" dxfId="6" priority="3">
      <formula>$D6="Servicios/Fletes"</formula>
    </cfRule>
  </conditionalFormatting>
  <conditionalFormatting sqref="L6:N1048576">
    <cfRule type="expression" dxfId="5" priority="2">
      <formula>$D6="Internacional"</formula>
    </cfRule>
  </conditionalFormatting>
  <conditionalFormatting sqref="Q6:T1048576">
    <cfRule type="expression" dxfId="4" priority="1">
      <formula>$D6="Servicios/Fletes"</formula>
    </cfRule>
  </conditionalFormatting>
  <conditionalFormatting sqref="V1:V1048576">
    <cfRule type="containsText" dxfId="3" priority="66" operator="containsText" text="Clase C">
      <formula>NOT(ISERROR(SEARCH("Clase C",V1)))</formula>
    </cfRule>
    <cfRule type="containsText" dxfId="2" priority="67" operator="containsText" text="Clase B">
      <formula>NOT(ISERROR(SEARCH("Clase B",V1)))</formula>
    </cfRule>
    <cfRule type="endsWith" dxfId="1" priority="68" operator="endsWith" text="Clase A">
      <formula>RIGHT(V1,LEN("Clase A"))="Clase A"</formula>
    </cfRule>
    <cfRule type="containsText" dxfId="0" priority="69" operator="containsText" text="Clase A++">
      <formula>NOT(ISERROR(SEARCH("Clase A++",V1)))</formula>
    </cfRule>
  </conditionalFormatting>
  <dataValidations count="3">
    <dataValidation type="list" allowBlank="1" showInputMessage="1" showErrorMessage="1" sqref="A6:A974" xr:uid="{982771D6-B6A7-4762-BC40-5584F6B119F9}">
      <formula1>ListaCodigos</formula1>
    </dataValidation>
    <dataValidation type="custom" allowBlank="1" showInputMessage="1" showErrorMessage="1" sqref="F6:G1048576 Q6:T1048576" xr:uid="{CC24706A-E0EE-43C6-8382-C5CC4E698458}">
      <formula1>$D6&lt;&gt;"Servicios/Fletes"</formula1>
    </dataValidation>
    <dataValidation type="custom" allowBlank="1" showInputMessage="1" showErrorMessage="1" sqref="L6:N1048576" xr:uid="{6EDAE88B-C164-44FD-B158-1DC57EA6033A}">
      <formula1>$D6&lt;&gt;"Internacional"</formula1>
    </dataValidation>
  </dataValidations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2944-2A6B-4746-8462-1D9FF68E176B}">
  <dimension ref="A1:P4"/>
  <sheetViews>
    <sheetView workbookViewId="0">
      <selection activeCell="C6" sqref="C6"/>
    </sheetView>
  </sheetViews>
  <sheetFormatPr baseColWidth="10" defaultRowHeight="15" x14ac:dyDescent="0.2"/>
  <sheetData>
    <row r="1" spans="1:16" x14ac:dyDescent="0.2">
      <c r="A1" t="s">
        <v>131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46</v>
      </c>
      <c r="O1" t="s">
        <v>226</v>
      </c>
      <c r="P1" t="s">
        <v>227</v>
      </c>
    </row>
    <row r="2" spans="1:16" x14ac:dyDescent="0.2">
      <c r="A2" t="s">
        <v>133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 x14ac:dyDescent="0.2">
      <c r="A3" t="s">
        <v>143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 x14ac:dyDescent="0.2">
      <c r="A4" t="s">
        <v>204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Estructura de Perfiles</vt:lpstr>
      <vt:lpstr>BASE DE DATOS</vt:lpstr>
      <vt:lpstr>Matriz Automatizada</vt:lpstr>
      <vt:lpstr>CONFIG.</vt:lpstr>
      <vt:lpstr>ListaCodigos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Emanuel Acevedo</cp:lastModifiedBy>
  <dcterms:created xsi:type="dcterms:W3CDTF">2026-07-13T12:53:48Z</dcterms:created>
  <dcterms:modified xsi:type="dcterms:W3CDTF">2026-07-24T14:00:53Z</dcterms:modified>
</cp:coreProperties>
</file>